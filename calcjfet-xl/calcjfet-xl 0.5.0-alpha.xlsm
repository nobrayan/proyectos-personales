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yan\Desktop\"/>
    </mc:Choice>
  </mc:AlternateContent>
  <xr:revisionPtr revIDLastSave="0" documentId="13_ncr:1_{4B6419DD-8FDA-45CD-AC41-362B997FC1F6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0" i="1" l="1"/>
  <c r="AN12" i="1" l="1"/>
  <c r="AO11" i="1"/>
  <c r="AQ4" i="1" l="1"/>
  <c r="AQ6" i="1"/>
  <c r="AQ3" i="1"/>
  <c r="AR6" i="1" l="1"/>
  <c r="AN11" i="1"/>
  <c r="AS4" i="1"/>
  <c r="AR4" i="1"/>
  <c r="AO12" i="1" l="1"/>
  <c r="AT4" i="1"/>
  <c r="AT5" i="1"/>
  <c r="AJ3" i="1"/>
  <c r="AI1" i="1" l="1"/>
  <c r="AC1" i="1"/>
  <c r="AD1" i="1" s="1"/>
  <c r="B17" i="1"/>
  <c r="B18" i="1"/>
  <c r="B19" i="1"/>
  <c r="AM6" i="1" l="1"/>
  <c r="AM11" i="1" s="1"/>
  <c r="AN3" i="1"/>
  <c r="AL6" i="1"/>
  <c r="AL11" i="1" s="1"/>
  <c r="AT6" i="1"/>
  <c r="AI2" i="1"/>
  <c r="AE1" i="1"/>
  <c r="AU4" i="1" l="1"/>
  <c r="AL12" i="1" s="1"/>
  <c r="AM12" i="1"/>
  <c r="AI3" i="1"/>
  <c r="AI4" i="1" s="1"/>
  <c r="AE2" i="1" l="1"/>
  <c r="AE3" i="1" s="1"/>
  <c r="AE4" i="1" s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AE41" i="1" s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E52" i="1" s="1"/>
  <c r="AE53" i="1" s="1"/>
  <c r="AE54" i="1" s="1"/>
  <c r="AE55" i="1" s="1"/>
  <c r="AE56" i="1" s="1"/>
  <c r="AE57" i="1" s="1"/>
  <c r="AE58" i="1" s="1"/>
  <c r="AE59" i="1" s="1"/>
  <c r="AE60" i="1" s="1"/>
  <c r="AE61" i="1" s="1"/>
  <c r="AE62" i="1" s="1"/>
  <c r="AE63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AE124" i="1" s="1"/>
  <c r="AE125" i="1" s="1"/>
  <c r="AE126" i="1" s="1"/>
  <c r="AE127" i="1" s="1"/>
  <c r="AE128" i="1" s="1"/>
  <c r="AE129" i="1" s="1"/>
  <c r="AE130" i="1" s="1"/>
  <c r="AE131" i="1" s="1"/>
  <c r="AE132" i="1" s="1"/>
  <c r="AE133" i="1" s="1"/>
  <c r="AE134" i="1" s="1"/>
  <c r="AE135" i="1" s="1"/>
  <c r="AE136" i="1" s="1"/>
  <c r="AE137" i="1" s="1"/>
  <c r="AE138" i="1" s="1"/>
  <c r="AE139" i="1" s="1"/>
  <c r="AE140" i="1" s="1"/>
  <c r="AE141" i="1" s="1"/>
  <c r="AE142" i="1" s="1"/>
  <c r="AE143" i="1" s="1"/>
  <c r="AE144" i="1" s="1"/>
  <c r="AE145" i="1" s="1"/>
  <c r="AE146" i="1" s="1"/>
  <c r="AE147" i="1" s="1"/>
  <c r="AE148" i="1" s="1"/>
  <c r="AE149" i="1" s="1"/>
  <c r="AE150" i="1" s="1"/>
  <c r="AE151" i="1" s="1"/>
  <c r="AE152" i="1" s="1"/>
  <c r="AE153" i="1" s="1"/>
  <c r="AE154" i="1" s="1"/>
  <c r="AE155" i="1" s="1"/>
  <c r="AE156" i="1" s="1"/>
  <c r="AE157" i="1" s="1"/>
  <c r="AE158" i="1" s="1"/>
  <c r="AE159" i="1" s="1"/>
  <c r="AE160" i="1" s="1"/>
  <c r="AE161" i="1" s="1"/>
  <c r="AE162" i="1" s="1"/>
  <c r="AE163" i="1" s="1"/>
  <c r="AE164" i="1" s="1"/>
  <c r="AE165" i="1" s="1"/>
  <c r="AE166" i="1" s="1"/>
  <c r="AE167" i="1" s="1"/>
  <c r="AE168" i="1" s="1"/>
  <c r="AE169" i="1" s="1"/>
  <c r="AE170" i="1" s="1"/>
  <c r="AE171" i="1" s="1"/>
  <c r="AE172" i="1" s="1"/>
  <c r="AE173" i="1" s="1"/>
  <c r="AE174" i="1" s="1"/>
  <c r="AE175" i="1" s="1"/>
  <c r="AE176" i="1" s="1"/>
  <c r="AE177" i="1" s="1"/>
  <c r="AE178" i="1" s="1"/>
  <c r="AE179" i="1" s="1"/>
  <c r="AE180" i="1" s="1"/>
  <c r="AE181" i="1" s="1"/>
  <c r="AE182" i="1" s="1"/>
  <c r="AE183" i="1" s="1"/>
  <c r="AE184" i="1" s="1"/>
  <c r="AE185" i="1" s="1"/>
  <c r="AE186" i="1" s="1"/>
  <c r="AE187" i="1" s="1"/>
  <c r="AE188" i="1" s="1"/>
  <c r="AE189" i="1" s="1"/>
  <c r="AE190" i="1" s="1"/>
  <c r="AE191" i="1" s="1"/>
  <c r="AE192" i="1" s="1"/>
  <c r="AE193" i="1" s="1"/>
  <c r="AE194" i="1" s="1"/>
  <c r="AE195" i="1" s="1"/>
  <c r="AE196" i="1" s="1"/>
  <c r="AE197" i="1" s="1"/>
  <c r="AE198" i="1" s="1"/>
  <c r="AE199" i="1" s="1"/>
  <c r="AE200" i="1" s="1"/>
  <c r="AE201" i="1" s="1"/>
  <c r="AE202" i="1" s="1"/>
  <c r="AE203" i="1" s="1"/>
  <c r="AE204" i="1" s="1"/>
  <c r="AE205" i="1" s="1"/>
  <c r="AE206" i="1" s="1"/>
  <c r="AE207" i="1" s="1"/>
  <c r="AE208" i="1" s="1"/>
  <c r="AE209" i="1" s="1"/>
  <c r="AE210" i="1" s="1"/>
  <c r="AE211" i="1" s="1"/>
  <c r="AE212" i="1" s="1"/>
  <c r="AE213" i="1" s="1"/>
  <c r="AE214" i="1" s="1"/>
  <c r="AE215" i="1" s="1"/>
  <c r="AE216" i="1" s="1"/>
  <c r="AE217" i="1" s="1"/>
  <c r="AE218" i="1" s="1"/>
  <c r="AE219" i="1" s="1"/>
  <c r="AE220" i="1" s="1"/>
  <c r="AE221" i="1" s="1"/>
  <c r="AE222" i="1" s="1"/>
  <c r="AE223" i="1" s="1"/>
  <c r="AE224" i="1" s="1"/>
  <c r="AE225" i="1" s="1"/>
  <c r="AE226" i="1" s="1"/>
  <c r="AE227" i="1" s="1"/>
  <c r="AE228" i="1" s="1"/>
  <c r="AE229" i="1" s="1"/>
  <c r="AE230" i="1" s="1"/>
  <c r="AE231" i="1" s="1"/>
  <c r="AE232" i="1" s="1"/>
  <c r="AE233" i="1" s="1"/>
  <c r="AE234" i="1" s="1"/>
  <c r="AE235" i="1" s="1"/>
  <c r="AE236" i="1" s="1"/>
  <c r="AE237" i="1" s="1"/>
  <c r="AE238" i="1" s="1"/>
  <c r="AE239" i="1" s="1"/>
  <c r="AE240" i="1" s="1"/>
  <c r="AE241" i="1" s="1"/>
  <c r="AE242" i="1" s="1"/>
  <c r="AE243" i="1" s="1"/>
  <c r="AE244" i="1" s="1"/>
  <c r="AE245" i="1" s="1"/>
  <c r="AE246" i="1" s="1"/>
  <c r="AE247" i="1" s="1"/>
  <c r="AE248" i="1" s="1"/>
  <c r="AE249" i="1" s="1"/>
  <c r="AE250" i="1" s="1"/>
  <c r="AE251" i="1" s="1"/>
  <c r="AE252" i="1" s="1"/>
  <c r="AE253" i="1" s="1"/>
  <c r="AE254" i="1" s="1"/>
  <c r="AE255" i="1" s="1"/>
  <c r="AE256" i="1" s="1"/>
  <c r="AE257" i="1" s="1"/>
  <c r="AE258" i="1" s="1"/>
  <c r="AE259" i="1" s="1"/>
  <c r="AE260" i="1" s="1"/>
  <c r="AE261" i="1" s="1"/>
  <c r="AE262" i="1" s="1"/>
  <c r="AE263" i="1" s="1"/>
  <c r="AE264" i="1" s="1"/>
  <c r="AE265" i="1" s="1"/>
  <c r="AE266" i="1" s="1"/>
  <c r="AE267" i="1" s="1"/>
  <c r="AE268" i="1" s="1"/>
  <c r="AE269" i="1" s="1"/>
  <c r="AE270" i="1" s="1"/>
  <c r="AE271" i="1" s="1"/>
  <c r="AE272" i="1" s="1"/>
  <c r="AE273" i="1" s="1"/>
  <c r="AE274" i="1" s="1"/>
  <c r="AE275" i="1" s="1"/>
  <c r="AE276" i="1" s="1"/>
  <c r="AE277" i="1" s="1"/>
  <c r="AE278" i="1" s="1"/>
  <c r="AE279" i="1" s="1"/>
  <c r="AE280" i="1" s="1"/>
  <c r="AE281" i="1" s="1"/>
  <c r="AE282" i="1" s="1"/>
  <c r="AE283" i="1" s="1"/>
  <c r="AE284" i="1" s="1"/>
  <c r="AE285" i="1" s="1"/>
  <c r="AE286" i="1" s="1"/>
  <c r="AE287" i="1" s="1"/>
  <c r="AE288" i="1" s="1"/>
  <c r="AE289" i="1" s="1"/>
  <c r="AE290" i="1" s="1"/>
  <c r="AE291" i="1" s="1"/>
  <c r="AE292" i="1" s="1"/>
  <c r="AE293" i="1" s="1"/>
  <c r="AE294" i="1" s="1"/>
  <c r="AE295" i="1" s="1"/>
  <c r="AE296" i="1" s="1"/>
  <c r="AE297" i="1" s="1"/>
  <c r="AE298" i="1" s="1"/>
  <c r="AE299" i="1" s="1"/>
  <c r="AE300" i="1" s="1"/>
  <c r="AE301" i="1" s="1"/>
  <c r="AE302" i="1" s="1"/>
  <c r="AE303" i="1" s="1"/>
  <c r="AE304" i="1" s="1"/>
  <c r="AE305" i="1" s="1"/>
  <c r="AE306" i="1" s="1"/>
  <c r="AE307" i="1" s="1"/>
  <c r="AE308" i="1" s="1"/>
  <c r="AE309" i="1" s="1"/>
  <c r="AE310" i="1" s="1"/>
  <c r="AE311" i="1" s="1"/>
  <c r="AE312" i="1" s="1"/>
  <c r="AE313" i="1" s="1"/>
  <c r="AE314" i="1" s="1"/>
  <c r="AE315" i="1" s="1"/>
  <c r="AE316" i="1" s="1"/>
  <c r="AE317" i="1" s="1"/>
  <c r="AE318" i="1" s="1"/>
  <c r="AE319" i="1" s="1"/>
  <c r="AE320" i="1" s="1"/>
  <c r="AE321" i="1" s="1"/>
  <c r="AE322" i="1" s="1"/>
  <c r="AE323" i="1" s="1"/>
  <c r="AE324" i="1" s="1"/>
  <c r="AE325" i="1" s="1"/>
  <c r="AE326" i="1" s="1"/>
  <c r="AE327" i="1" s="1"/>
  <c r="AE328" i="1" s="1"/>
  <c r="AE329" i="1" s="1"/>
  <c r="AE330" i="1" s="1"/>
  <c r="AE331" i="1" s="1"/>
  <c r="AE332" i="1" s="1"/>
  <c r="AE333" i="1" s="1"/>
  <c r="AE334" i="1" s="1"/>
  <c r="AE335" i="1" s="1"/>
  <c r="AE336" i="1" s="1"/>
  <c r="AE337" i="1" s="1"/>
  <c r="AE338" i="1" s="1"/>
  <c r="AE339" i="1" s="1"/>
  <c r="AE340" i="1" s="1"/>
  <c r="AE341" i="1" s="1"/>
  <c r="AE342" i="1" s="1"/>
  <c r="AE343" i="1" s="1"/>
  <c r="AE344" i="1" s="1"/>
  <c r="AE345" i="1" s="1"/>
  <c r="AE346" i="1" s="1"/>
  <c r="AE347" i="1" s="1"/>
  <c r="AE348" i="1" s="1"/>
  <c r="AE349" i="1" s="1"/>
  <c r="AE350" i="1" s="1"/>
  <c r="AE351" i="1" s="1"/>
  <c r="AE352" i="1" s="1"/>
  <c r="AE353" i="1" s="1"/>
  <c r="AE354" i="1" s="1"/>
  <c r="AE355" i="1" s="1"/>
  <c r="AE356" i="1" s="1"/>
  <c r="AE357" i="1" s="1"/>
  <c r="AE358" i="1" s="1"/>
  <c r="AE359" i="1" s="1"/>
  <c r="AE360" i="1" s="1"/>
  <c r="AE361" i="1" s="1"/>
  <c r="AE362" i="1" s="1"/>
  <c r="AE363" i="1" s="1"/>
  <c r="AE364" i="1" s="1"/>
  <c r="AE365" i="1" s="1"/>
  <c r="AE366" i="1" s="1"/>
  <c r="AE367" i="1" s="1"/>
  <c r="AE368" i="1" s="1"/>
  <c r="AE369" i="1" s="1"/>
  <c r="AE370" i="1" s="1"/>
  <c r="AE371" i="1" s="1"/>
  <c r="AE372" i="1" s="1"/>
  <c r="AE373" i="1" s="1"/>
  <c r="AE374" i="1" s="1"/>
  <c r="AE375" i="1" s="1"/>
  <c r="AE376" i="1" s="1"/>
  <c r="AE377" i="1" s="1"/>
  <c r="AE378" i="1" s="1"/>
  <c r="AE379" i="1" s="1"/>
  <c r="AE380" i="1" s="1"/>
  <c r="AE381" i="1" s="1"/>
  <c r="AE382" i="1" s="1"/>
  <c r="AE383" i="1" s="1"/>
  <c r="AE384" i="1" s="1"/>
  <c r="AE385" i="1" s="1"/>
  <c r="AE386" i="1" s="1"/>
  <c r="AE387" i="1" s="1"/>
  <c r="AE388" i="1" s="1"/>
  <c r="AE389" i="1" s="1"/>
  <c r="AE390" i="1" s="1"/>
  <c r="AE391" i="1" s="1"/>
  <c r="AE392" i="1" s="1"/>
  <c r="AE393" i="1" s="1"/>
  <c r="AE394" i="1" s="1"/>
  <c r="AE395" i="1" s="1"/>
  <c r="AE396" i="1" s="1"/>
  <c r="AE397" i="1" s="1"/>
  <c r="AE398" i="1" s="1"/>
  <c r="AE399" i="1" s="1"/>
  <c r="AE400" i="1" s="1"/>
  <c r="AE401" i="1" s="1"/>
  <c r="AE402" i="1" s="1"/>
  <c r="AE403" i="1" s="1"/>
  <c r="AE404" i="1" s="1"/>
  <c r="AE405" i="1" s="1"/>
  <c r="AE406" i="1" s="1"/>
  <c r="AE407" i="1" s="1"/>
  <c r="AE408" i="1" s="1"/>
  <c r="AE409" i="1" s="1"/>
  <c r="AE410" i="1" s="1"/>
  <c r="AE411" i="1" s="1"/>
  <c r="AE412" i="1" s="1"/>
  <c r="AE413" i="1" s="1"/>
  <c r="AE414" i="1" s="1"/>
  <c r="AE415" i="1" s="1"/>
  <c r="AE416" i="1" s="1"/>
  <c r="AE417" i="1" s="1"/>
  <c r="AE418" i="1" s="1"/>
  <c r="AE419" i="1" s="1"/>
  <c r="AE420" i="1" s="1"/>
  <c r="AE421" i="1" s="1"/>
  <c r="AE422" i="1" s="1"/>
  <c r="AE423" i="1" s="1"/>
  <c r="AE424" i="1" s="1"/>
  <c r="AE425" i="1" s="1"/>
  <c r="AE426" i="1" s="1"/>
  <c r="AE427" i="1" s="1"/>
  <c r="AE428" i="1" s="1"/>
  <c r="AE429" i="1" s="1"/>
  <c r="AE430" i="1" s="1"/>
  <c r="AE431" i="1" s="1"/>
  <c r="AE432" i="1" s="1"/>
  <c r="AE433" i="1" s="1"/>
  <c r="AE434" i="1" s="1"/>
  <c r="AE435" i="1" s="1"/>
  <c r="AE436" i="1" s="1"/>
  <c r="AE437" i="1" s="1"/>
  <c r="AE438" i="1" s="1"/>
  <c r="AE439" i="1" s="1"/>
  <c r="AE440" i="1" s="1"/>
  <c r="AE441" i="1" s="1"/>
  <c r="AE442" i="1" s="1"/>
  <c r="AE443" i="1" s="1"/>
  <c r="AE444" i="1" s="1"/>
  <c r="AE445" i="1" s="1"/>
  <c r="AE446" i="1" s="1"/>
  <c r="AE447" i="1" s="1"/>
  <c r="AE448" i="1" s="1"/>
  <c r="AE449" i="1" s="1"/>
  <c r="AE450" i="1" s="1"/>
  <c r="AE451" i="1" s="1"/>
  <c r="AE452" i="1" s="1"/>
  <c r="AE453" i="1" s="1"/>
  <c r="AE454" i="1" s="1"/>
  <c r="AE455" i="1" s="1"/>
  <c r="AE456" i="1" s="1"/>
  <c r="AE457" i="1" s="1"/>
  <c r="AE458" i="1" s="1"/>
  <c r="AE459" i="1" s="1"/>
  <c r="AE460" i="1" s="1"/>
  <c r="AE461" i="1" s="1"/>
  <c r="AE462" i="1" s="1"/>
  <c r="AE463" i="1" s="1"/>
  <c r="AE464" i="1" s="1"/>
  <c r="AE465" i="1" s="1"/>
  <c r="AE466" i="1" s="1"/>
  <c r="AE467" i="1" s="1"/>
  <c r="AE468" i="1" s="1"/>
  <c r="AE469" i="1" s="1"/>
  <c r="AE470" i="1" s="1"/>
  <c r="AE471" i="1" s="1"/>
  <c r="AE472" i="1" s="1"/>
  <c r="AE473" i="1" s="1"/>
  <c r="AE474" i="1" s="1"/>
  <c r="AE475" i="1" s="1"/>
  <c r="AE476" i="1" s="1"/>
  <c r="AE477" i="1" s="1"/>
  <c r="AE478" i="1" s="1"/>
  <c r="AE479" i="1" s="1"/>
  <c r="AE480" i="1" s="1"/>
  <c r="AE481" i="1" s="1"/>
  <c r="AE482" i="1" s="1"/>
  <c r="AE483" i="1" s="1"/>
  <c r="AE484" i="1" s="1"/>
  <c r="AE485" i="1" s="1"/>
  <c r="AE486" i="1" s="1"/>
  <c r="AE487" i="1" s="1"/>
  <c r="AE488" i="1" s="1"/>
  <c r="AE489" i="1" s="1"/>
  <c r="AE490" i="1" s="1"/>
  <c r="AE491" i="1" s="1"/>
  <c r="AE492" i="1" s="1"/>
  <c r="AE493" i="1" s="1"/>
  <c r="AE494" i="1" s="1"/>
  <c r="AE495" i="1" s="1"/>
  <c r="AE496" i="1" s="1"/>
  <c r="AE497" i="1" s="1"/>
  <c r="AE498" i="1" s="1"/>
  <c r="AE499" i="1" s="1"/>
  <c r="AE500" i="1" s="1"/>
  <c r="AI5" i="1"/>
  <c r="AH1" i="1"/>
  <c r="D18" i="1"/>
  <c r="D17" i="1"/>
  <c r="D16" i="1"/>
  <c r="AM3" i="1" l="1"/>
  <c r="AL3" i="1"/>
  <c r="AO3" i="1" s="1"/>
  <c r="AG1" i="1"/>
  <c r="AK3" i="1"/>
  <c r="AH2" i="1"/>
  <c r="AF2" i="1"/>
  <c r="AI6" i="1"/>
  <c r="AO4" i="1" l="1"/>
  <c r="AO5" i="1" s="1"/>
  <c r="AP3" i="1" s="1"/>
  <c r="AL9" i="1" s="1"/>
  <c r="AQ9" i="1" s="1"/>
  <c r="AQ10" i="1" s="1"/>
  <c r="AG2" i="1"/>
  <c r="AH3" i="1"/>
  <c r="AF3" i="1"/>
  <c r="AF4" i="1" s="1"/>
  <c r="AI7" i="1"/>
  <c r="AM9" i="1" l="1"/>
  <c r="AR9" i="1" s="1"/>
  <c r="AH4" i="1"/>
  <c r="AG3" i="1"/>
  <c r="AI8" i="1"/>
  <c r="AF5" i="1" l="1"/>
  <c r="AG4" i="1"/>
  <c r="AH5" i="1"/>
  <c r="AI9" i="1"/>
  <c r="AG5" i="1" l="1"/>
  <c r="AF6" i="1"/>
  <c r="AH6" i="1"/>
  <c r="AI10" i="1"/>
  <c r="AG6" i="1" l="1"/>
  <c r="AF7" i="1"/>
  <c r="AH7" i="1"/>
  <c r="AI11" i="1"/>
  <c r="AG7" i="1" l="1"/>
  <c r="AF8" i="1"/>
  <c r="AH8" i="1"/>
  <c r="AI12" i="1"/>
  <c r="AG8" i="1" l="1"/>
  <c r="AF9" i="1"/>
  <c r="AH9" i="1"/>
  <c r="AI13" i="1"/>
  <c r="AI14" i="1" s="1"/>
  <c r="AI15" i="1" s="1"/>
  <c r="AI16" i="1" s="1"/>
  <c r="AI17" i="1" s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F10" i="1" l="1"/>
  <c r="AG9" i="1"/>
  <c r="AH10" i="1"/>
  <c r="AI213" i="1"/>
  <c r="AG10" i="1" l="1"/>
  <c r="AF11" i="1"/>
  <c r="AH11" i="1"/>
  <c r="AI214" i="1"/>
  <c r="AF12" i="1" l="1"/>
  <c r="AG11" i="1"/>
  <c r="AH12" i="1"/>
  <c r="AI215" i="1"/>
  <c r="AG12" i="1" l="1"/>
  <c r="AF13" i="1"/>
  <c r="AH13" i="1"/>
  <c r="AI216" i="1"/>
  <c r="AF14" i="1" l="1"/>
  <c r="AG13" i="1"/>
  <c r="AH14" i="1"/>
  <c r="AI217" i="1"/>
  <c r="AG14" i="1" l="1"/>
  <c r="AF15" i="1"/>
  <c r="AH15" i="1"/>
  <c r="AI218" i="1"/>
  <c r="AF16" i="1" l="1"/>
  <c r="AG15" i="1"/>
  <c r="AH16" i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AH105" i="1" s="1"/>
  <c r="AH106" i="1" s="1"/>
  <c r="AH107" i="1" s="1"/>
  <c r="AH108" i="1" s="1"/>
  <c r="AH109" i="1" s="1"/>
  <c r="AH110" i="1" s="1"/>
  <c r="AH111" i="1" s="1"/>
  <c r="AH112" i="1" s="1"/>
  <c r="AH113" i="1" s="1"/>
  <c r="AH114" i="1" s="1"/>
  <c r="AH115" i="1" s="1"/>
  <c r="AH116" i="1" s="1"/>
  <c r="AH117" i="1" s="1"/>
  <c r="AH118" i="1" s="1"/>
  <c r="AH119" i="1" s="1"/>
  <c r="AH120" i="1" s="1"/>
  <c r="AH121" i="1" s="1"/>
  <c r="AH122" i="1" s="1"/>
  <c r="AH123" i="1" s="1"/>
  <c r="AH124" i="1" s="1"/>
  <c r="AH125" i="1" s="1"/>
  <c r="AH126" i="1" s="1"/>
  <c r="AH127" i="1" s="1"/>
  <c r="AH128" i="1" s="1"/>
  <c r="AH129" i="1" s="1"/>
  <c r="AH130" i="1" s="1"/>
  <c r="AH131" i="1" s="1"/>
  <c r="AH132" i="1" s="1"/>
  <c r="AH133" i="1" s="1"/>
  <c r="AH134" i="1" s="1"/>
  <c r="AH135" i="1" s="1"/>
  <c r="AH136" i="1" s="1"/>
  <c r="AH137" i="1" s="1"/>
  <c r="AH138" i="1" s="1"/>
  <c r="AH139" i="1" s="1"/>
  <c r="AH140" i="1" s="1"/>
  <c r="AH141" i="1" s="1"/>
  <c r="AH142" i="1" s="1"/>
  <c r="AH143" i="1" s="1"/>
  <c r="AH144" i="1" s="1"/>
  <c r="AH145" i="1" s="1"/>
  <c r="AH146" i="1" s="1"/>
  <c r="AH147" i="1" s="1"/>
  <c r="AH148" i="1" s="1"/>
  <c r="AH149" i="1" s="1"/>
  <c r="AH150" i="1" s="1"/>
  <c r="AH151" i="1" s="1"/>
  <c r="AH152" i="1" s="1"/>
  <c r="AH153" i="1" s="1"/>
  <c r="AH154" i="1" s="1"/>
  <c r="AH155" i="1" s="1"/>
  <c r="AH156" i="1" s="1"/>
  <c r="AH157" i="1" s="1"/>
  <c r="AH158" i="1" s="1"/>
  <c r="AH159" i="1" s="1"/>
  <c r="AH160" i="1" s="1"/>
  <c r="AH161" i="1" s="1"/>
  <c r="AH162" i="1" s="1"/>
  <c r="AH163" i="1" s="1"/>
  <c r="AH164" i="1" s="1"/>
  <c r="AH165" i="1" s="1"/>
  <c r="AH166" i="1" s="1"/>
  <c r="AH167" i="1" s="1"/>
  <c r="AH168" i="1" s="1"/>
  <c r="AH169" i="1" s="1"/>
  <c r="AH170" i="1" s="1"/>
  <c r="AH171" i="1" s="1"/>
  <c r="AH172" i="1" s="1"/>
  <c r="AH173" i="1" s="1"/>
  <c r="AH174" i="1" s="1"/>
  <c r="AH175" i="1" s="1"/>
  <c r="AH176" i="1" s="1"/>
  <c r="AH177" i="1" s="1"/>
  <c r="AH178" i="1" s="1"/>
  <c r="AH179" i="1" s="1"/>
  <c r="AH180" i="1" s="1"/>
  <c r="AH181" i="1" s="1"/>
  <c r="AH182" i="1" s="1"/>
  <c r="AH183" i="1" s="1"/>
  <c r="AH184" i="1" s="1"/>
  <c r="AH185" i="1" s="1"/>
  <c r="AH186" i="1" s="1"/>
  <c r="AH187" i="1" s="1"/>
  <c r="AH188" i="1" s="1"/>
  <c r="AH189" i="1" s="1"/>
  <c r="AH190" i="1" s="1"/>
  <c r="AH191" i="1" s="1"/>
  <c r="AH192" i="1" s="1"/>
  <c r="AH193" i="1" s="1"/>
  <c r="AH194" i="1" s="1"/>
  <c r="AH195" i="1" s="1"/>
  <c r="AH196" i="1" s="1"/>
  <c r="AH197" i="1" s="1"/>
  <c r="AH198" i="1" s="1"/>
  <c r="AH199" i="1" s="1"/>
  <c r="AH200" i="1" s="1"/>
  <c r="AH201" i="1" s="1"/>
  <c r="AH202" i="1" s="1"/>
  <c r="AH203" i="1" s="1"/>
  <c r="AH204" i="1" s="1"/>
  <c r="AH205" i="1" s="1"/>
  <c r="AH206" i="1" s="1"/>
  <c r="AH207" i="1" s="1"/>
  <c r="AH208" i="1" s="1"/>
  <c r="AH209" i="1" s="1"/>
  <c r="AH210" i="1" s="1"/>
  <c r="AH211" i="1" s="1"/>
  <c r="AH212" i="1" s="1"/>
  <c r="AH213" i="1" s="1"/>
  <c r="AH214" i="1" s="1"/>
  <c r="AH215" i="1" s="1"/>
  <c r="AH216" i="1" s="1"/>
  <c r="AH217" i="1" s="1"/>
  <c r="AH218" i="1" s="1"/>
  <c r="AH219" i="1" s="1"/>
  <c r="AH220" i="1" s="1"/>
  <c r="AH221" i="1" s="1"/>
  <c r="AH222" i="1" s="1"/>
  <c r="AH223" i="1" s="1"/>
  <c r="AH224" i="1" s="1"/>
  <c r="AH225" i="1" s="1"/>
  <c r="AH226" i="1" s="1"/>
  <c r="AH227" i="1" s="1"/>
  <c r="AH228" i="1" s="1"/>
  <c r="AH229" i="1" s="1"/>
  <c r="AH230" i="1" s="1"/>
  <c r="AH231" i="1" s="1"/>
  <c r="AH232" i="1" s="1"/>
  <c r="AH233" i="1" s="1"/>
  <c r="AH234" i="1" s="1"/>
  <c r="AH235" i="1" s="1"/>
  <c r="AH236" i="1" s="1"/>
  <c r="AH237" i="1" s="1"/>
  <c r="AH238" i="1" s="1"/>
  <c r="AH239" i="1" s="1"/>
  <c r="AH240" i="1" s="1"/>
  <c r="AH241" i="1" s="1"/>
  <c r="AH242" i="1" s="1"/>
  <c r="AH243" i="1" s="1"/>
  <c r="AH244" i="1" s="1"/>
  <c r="AH245" i="1" s="1"/>
  <c r="AH246" i="1" s="1"/>
  <c r="AH247" i="1" s="1"/>
  <c r="AH248" i="1" s="1"/>
  <c r="AH249" i="1" s="1"/>
  <c r="AH250" i="1" s="1"/>
  <c r="AH251" i="1" s="1"/>
  <c r="AH252" i="1" s="1"/>
  <c r="AH253" i="1" s="1"/>
  <c r="AH254" i="1" s="1"/>
  <c r="AH255" i="1" s="1"/>
  <c r="AH256" i="1" s="1"/>
  <c r="AH257" i="1" s="1"/>
  <c r="AH258" i="1" s="1"/>
  <c r="AH259" i="1" s="1"/>
  <c r="AH260" i="1" s="1"/>
  <c r="AH261" i="1" s="1"/>
  <c r="AH262" i="1" s="1"/>
  <c r="AH263" i="1" s="1"/>
  <c r="AH264" i="1" s="1"/>
  <c r="AH265" i="1" s="1"/>
  <c r="AH266" i="1" s="1"/>
  <c r="AH267" i="1" s="1"/>
  <c r="AH268" i="1" s="1"/>
  <c r="AH269" i="1" s="1"/>
  <c r="AH270" i="1" s="1"/>
  <c r="AH271" i="1" s="1"/>
  <c r="AH272" i="1" s="1"/>
  <c r="AH273" i="1" s="1"/>
  <c r="AH274" i="1" s="1"/>
  <c r="AH275" i="1" s="1"/>
  <c r="AH276" i="1" s="1"/>
  <c r="AH277" i="1" s="1"/>
  <c r="AH278" i="1" s="1"/>
  <c r="AH279" i="1" s="1"/>
  <c r="AH280" i="1" s="1"/>
  <c r="AH281" i="1" s="1"/>
  <c r="AH282" i="1" s="1"/>
  <c r="AH283" i="1" s="1"/>
  <c r="AH284" i="1" s="1"/>
  <c r="AH285" i="1" s="1"/>
  <c r="AH286" i="1" s="1"/>
  <c r="AH287" i="1" s="1"/>
  <c r="AH288" i="1" s="1"/>
  <c r="AH289" i="1" s="1"/>
  <c r="AH290" i="1" s="1"/>
  <c r="AH291" i="1" s="1"/>
  <c r="AH292" i="1" s="1"/>
  <c r="AH293" i="1" s="1"/>
  <c r="AH294" i="1" s="1"/>
  <c r="AH295" i="1" s="1"/>
  <c r="AH296" i="1" s="1"/>
  <c r="AH297" i="1" s="1"/>
  <c r="AH298" i="1" s="1"/>
  <c r="AH299" i="1" s="1"/>
  <c r="AH300" i="1" s="1"/>
  <c r="AH301" i="1" s="1"/>
  <c r="AH302" i="1" s="1"/>
  <c r="AH303" i="1" s="1"/>
  <c r="AH304" i="1" s="1"/>
  <c r="AH305" i="1" s="1"/>
  <c r="AH306" i="1" s="1"/>
  <c r="AH307" i="1" s="1"/>
  <c r="AH308" i="1" s="1"/>
  <c r="AH309" i="1" s="1"/>
  <c r="AH310" i="1" s="1"/>
  <c r="AH311" i="1" s="1"/>
  <c r="AH312" i="1" s="1"/>
  <c r="AH313" i="1" s="1"/>
  <c r="AH314" i="1" s="1"/>
  <c r="AH315" i="1" s="1"/>
  <c r="AH316" i="1" s="1"/>
  <c r="AH317" i="1" s="1"/>
  <c r="AH318" i="1" s="1"/>
  <c r="AH319" i="1" s="1"/>
  <c r="AH320" i="1" s="1"/>
  <c r="AH321" i="1" s="1"/>
  <c r="AH322" i="1" s="1"/>
  <c r="AH323" i="1" s="1"/>
  <c r="AH324" i="1" s="1"/>
  <c r="AH325" i="1" s="1"/>
  <c r="AH326" i="1" s="1"/>
  <c r="AH327" i="1" s="1"/>
  <c r="AH328" i="1" s="1"/>
  <c r="AH329" i="1" s="1"/>
  <c r="AH330" i="1" s="1"/>
  <c r="AH331" i="1" s="1"/>
  <c r="AH332" i="1" s="1"/>
  <c r="AH333" i="1" s="1"/>
  <c r="AH334" i="1" s="1"/>
  <c r="AH335" i="1" s="1"/>
  <c r="AH336" i="1" s="1"/>
  <c r="AH337" i="1" s="1"/>
  <c r="AH338" i="1" s="1"/>
  <c r="AH339" i="1" s="1"/>
  <c r="AH340" i="1" s="1"/>
  <c r="AH341" i="1" s="1"/>
  <c r="AH342" i="1" s="1"/>
  <c r="AH343" i="1" s="1"/>
  <c r="AH344" i="1" s="1"/>
  <c r="AH345" i="1" s="1"/>
  <c r="AH346" i="1" s="1"/>
  <c r="AH347" i="1" s="1"/>
  <c r="AH348" i="1" s="1"/>
  <c r="AH349" i="1" s="1"/>
  <c r="AH350" i="1" s="1"/>
  <c r="AH351" i="1" s="1"/>
  <c r="AH352" i="1" s="1"/>
  <c r="AH353" i="1" s="1"/>
  <c r="AH354" i="1" s="1"/>
  <c r="AH355" i="1" s="1"/>
  <c r="AH356" i="1" s="1"/>
  <c r="AH357" i="1" s="1"/>
  <c r="AH358" i="1" s="1"/>
  <c r="AH359" i="1" s="1"/>
  <c r="AH360" i="1" s="1"/>
  <c r="AH361" i="1" s="1"/>
  <c r="AH362" i="1" s="1"/>
  <c r="AH363" i="1" s="1"/>
  <c r="AH364" i="1" s="1"/>
  <c r="AH365" i="1" s="1"/>
  <c r="AH366" i="1" s="1"/>
  <c r="AH367" i="1" s="1"/>
  <c r="AH368" i="1" s="1"/>
  <c r="AH369" i="1" s="1"/>
  <c r="AH370" i="1" s="1"/>
  <c r="AH371" i="1" s="1"/>
  <c r="AH372" i="1" s="1"/>
  <c r="AH373" i="1" s="1"/>
  <c r="AH374" i="1" s="1"/>
  <c r="AH375" i="1" s="1"/>
  <c r="AH376" i="1" s="1"/>
  <c r="AH377" i="1" s="1"/>
  <c r="AH378" i="1" s="1"/>
  <c r="AH379" i="1" s="1"/>
  <c r="AH380" i="1" s="1"/>
  <c r="AH381" i="1" s="1"/>
  <c r="AH382" i="1" s="1"/>
  <c r="AH383" i="1" s="1"/>
  <c r="AH384" i="1" s="1"/>
  <c r="AH385" i="1" s="1"/>
  <c r="AH386" i="1" s="1"/>
  <c r="AH387" i="1" s="1"/>
  <c r="AH388" i="1" s="1"/>
  <c r="AH389" i="1" s="1"/>
  <c r="AH390" i="1" s="1"/>
  <c r="AH391" i="1" s="1"/>
  <c r="AH392" i="1" s="1"/>
  <c r="AH393" i="1" s="1"/>
  <c r="AH394" i="1" s="1"/>
  <c r="AH395" i="1" s="1"/>
  <c r="AH396" i="1" s="1"/>
  <c r="AH397" i="1" s="1"/>
  <c r="AH398" i="1" s="1"/>
  <c r="AH399" i="1" s="1"/>
  <c r="AH400" i="1" s="1"/>
  <c r="AH401" i="1" s="1"/>
  <c r="AH402" i="1" s="1"/>
  <c r="AH403" i="1" s="1"/>
  <c r="AH404" i="1" s="1"/>
  <c r="AH405" i="1" s="1"/>
  <c r="AH406" i="1" s="1"/>
  <c r="AH407" i="1" s="1"/>
  <c r="AH408" i="1" s="1"/>
  <c r="AH409" i="1" s="1"/>
  <c r="AH410" i="1" s="1"/>
  <c r="AH411" i="1" s="1"/>
  <c r="AH412" i="1" s="1"/>
  <c r="AH413" i="1" s="1"/>
  <c r="AH414" i="1" s="1"/>
  <c r="AH415" i="1" s="1"/>
  <c r="AH416" i="1" s="1"/>
  <c r="AH417" i="1" s="1"/>
  <c r="AH418" i="1" s="1"/>
  <c r="AH419" i="1" s="1"/>
  <c r="AH420" i="1" s="1"/>
  <c r="AH421" i="1" s="1"/>
  <c r="AH422" i="1" s="1"/>
  <c r="AH423" i="1" s="1"/>
  <c r="AH424" i="1" s="1"/>
  <c r="AH425" i="1" s="1"/>
  <c r="AH426" i="1" s="1"/>
  <c r="AH427" i="1" s="1"/>
  <c r="AH428" i="1" s="1"/>
  <c r="AH429" i="1" s="1"/>
  <c r="AH430" i="1" s="1"/>
  <c r="AH431" i="1" s="1"/>
  <c r="AH432" i="1" s="1"/>
  <c r="AH433" i="1" s="1"/>
  <c r="AH434" i="1" s="1"/>
  <c r="AH435" i="1" s="1"/>
  <c r="AH436" i="1" s="1"/>
  <c r="AH437" i="1" s="1"/>
  <c r="AH438" i="1" s="1"/>
  <c r="AH439" i="1" s="1"/>
  <c r="AH440" i="1" s="1"/>
  <c r="AH441" i="1" s="1"/>
  <c r="AH442" i="1" s="1"/>
  <c r="AH443" i="1" s="1"/>
  <c r="AH444" i="1" s="1"/>
  <c r="AH445" i="1" s="1"/>
  <c r="AH446" i="1" s="1"/>
  <c r="AH447" i="1" s="1"/>
  <c r="AH448" i="1" s="1"/>
  <c r="AH449" i="1" s="1"/>
  <c r="AH450" i="1" s="1"/>
  <c r="AH451" i="1" s="1"/>
  <c r="AH452" i="1" s="1"/>
  <c r="AH453" i="1" s="1"/>
  <c r="AH454" i="1" s="1"/>
  <c r="AH455" i="1" s="1"/>
  <c r="AH456" i="1" s="1"/>
  <c r="AH457" i="1" s="1"/>
  <c r="AH458" i="1" s="1"/>
  <c r="AH459" i="1" s="1"/>
  <c r="AH460" i="1" s="1"/>
  <c r="AH461" i="1" s="1"/>
  <c r="AH462" i="1" s="1"/>
  <c r="AH463" i="1" s="1"/>
  <c r="AH464" i="1" s="1"/>
  <c r="AH465" i="1" s="1"/>
  <c r="AH466" i="1" s="1"/>
  <c r="AH467" i="1" s="1"/>
  <c r="AH468" i="1" s="1"/>
  <c r="AH469" i="1" s="1"/>
  <c r="AH470" i="1" s="1"/>
  <c r="AH471" i="1" s="1"/>
  <c r="AH472" i="1" s="1"/>
  <c r="AH473" i="1" s="1"/>
  <c r="AH474" i="1" s="1"/>
  <c r="AH475" i="1" s="1"/>
  <c r="AH476" i="1" s="1"/>
  <c r="AH477" i="1" s="1"/>
  <c r="AH478" i="1" s="1"/>
  <c r="AH479" i="1" s="1"/>
  <c r="AH480" i="1" s="1"/>
  <c r="AH481" i="1" s="1"/>
  <c r="AH482" i="1" s="1"/>
  <c r="AH483" i="1" s="1"/>
  <c r="AH484" i="1" s="1"/>
  <c r="AH485" i="1" s="1"/>
  <c r="AH486" i="1" s="1"/>
  <c r="AH487" i="1" s="1"/>
  <c r="AH488" i="1" s="1"/>
  <c r="AH489" i="1" s="1"/>
  <c r="AH490" i="1" s="1"/>
  <c r="AH491" i="1" s="1"/>
  <c r="AH492" i="1" s="1"/>
  <c r="AH493" i="1" s="1"/>
  <c r="AH494" i="1" s="1"/>
  <c r="AH495" i="1" s="1"/>
  <c r="AH496" i="1" s="1"/>
  <c r="AH497" i="1" s="1"/>
  <c r="AH498" i="1" s="1"/>
  <c r="AH499" i="1" s="1"/>
  <c r="AH500" i="1" s="1"/>
  <c r="AI219" i="1"/>
  <c r="AF17" i="1" l="1"/>
  <c r="AF18" i="1" s="1"/>
  <c r="AG16" i="1"/>
  <c r="AI220" i="1"/>
  <c r="AG17" i="1" l="1"/>
  <c r="AI221" i="1"/>
  <c r="AF19" i="1"/>
  <c r="AG18" i="1"/>
  <c r="AI222" i="1" l="1"/>
  <c r="AF20" i="1"/>
  <c r="AG19" i="1"/>
  <c r="AI223" i="1" l="1"/>
  <c r="AF21" i="1"/>
  <c r="AG20" i="1"/>
  <c r="AI224" i="1" l="1"/>
  <c r="AF22" i="1"/>
  <c r="AG21" i="1"/>
  <c r="AI225" i="1" l="1"/>
  <c r="AF23" i="1"/>
  <c r="AG22" i="1"/>
  <c r="AI226" i="1" l="1"/>
  <c r="AF24" i="1"/>
  <c r="AG23" i="1"/>
  <c r="AI227" i="1" l="1"/>
  <c r="AF25" i="1"/>
  <c r="AG24" i="1"/>
  <c r="AI228" i="1" l="1"/>
  <c r="AF26" i="1"/>
  <c r="AG25" i="1"/>
  <c r="AI229" i="1" l="1"/>
  <c r="AF27" i="1"/>
  <c r="AG26" i="1"/>
  <c r="AI230" i="1" l="1"/>
  <c r="AF28" i="1"/>
  <c r="AG27" i="1"/>
  <c r="AI231" i="1" l="1"/>
  <c r="AF29" i="1"/>
  <c r="AG28" i="1"/>
  <c r="AI232" i="1" l="1"/>
  <c r="AF30" i="1"/>
  <c r="AG29" i="1"/>
  <c r="AI233" i="1" l="1"/>
  <c r="AF31" i="1"/>
  <c r="AG30" i="1"/>
  <c r="AI234" i="1" l="1"/>
  <c r="AF32" i="1"/>
  <c r="AG31" i="1"/>
  <c r="AI235" i="1" l="1"/>
  <c r="AF33" i="1"/>
  <c r="AG32" i="1"/>
  <c r="AI236" i="1" l="1"/>
  <c r="AF34" i="1"/>
  <c r="AG33" i="1"/>
  <c r="AI237" i="1" l="1"/>
  <c r="AF35" i="1"/>
  <c r="AG34" i="1"/>
  <c r="AI238" i="1" l="1"/>
  <c r="AF36" i="1"/>
  <c r="AG35" i="1"/>
  <c r="AI239" i="1" l="1"/>
  <c r="AF37" i="1"/>
  <c r="AG36" i="1"/>
  <c r="AI240" i="1" l="1"/>
  <c r="AF38" i="1"/>
  <c r="AG37" i="1"/>
  <c r="AI241" i="1" l="1"/>
  <c r="AF39" i="1"/>
  <c r="AG38" i="1"/>
  <c r="AI242" i="1" l="1"/>
  <c r="AF40" i="1"/>
  <c r="AG39" i="1"/>
  <c r="AI243" i="1" l="1"/>
  <c r="AF41" i="1"/>
  <c r="AG40" i="1"/>
  <c r="AI244" i="1" l="1"/>
  <c r="AF42" i="1"/>
  <c r="AG41" i="1"/>
  <c r="AI245" i="1" l="1"/>
  <c r="AF43" i="1"/>
  <c r="AG42" i="1"/>
  <c r="AI246" i="1" l="1"/>
  <c r="AF44" i="1"/>
  <c r="AG43" i="1"/>
  <c r="AI247" i="1" l="1"/>
  <c r="AF45" i="1"/>
  <c r="AG44" i="1"/>
  <c r="AI248" i="1" l="1"/>
  <c r="AF46" i="1"/>
  <c r="AG45" i="1"/>
  <c r="AI249" i="1" l="1"/>
  <c r="AF47" i="1"/>
  <c r="AG46" i="1"/>
  <c r="AI250" i="1" l="1"/>
  <c r="AF48" i="1"/>
  <c r="AG47" i="1"/>
  <c r="AI251" i="1" l="1"/>
  <c r="AF49" i="1"/>
  <c r="AG48" i="1"/>
  <c r="AI252" i="1" l="1"/>
  <c r="AF50" i="1"/>
  <c r="AG49" i="1"/>
  <c r="AI253" i="1" l="1"/>
  <c r="AF51" i="1"/>
  <c r="AG50" i="1"/>
  <c r="AI254" i="1" l="1"/>
  <c r="AF52" i="1"/>
  <c r="AG51" i="1"/>
  <c r="AI255" i="1" l="1"/>
  <c r="AF53" i="1"/>
  <c r="AG52" i="1"/>
  <c r="AI256" i="1" l="1"/>
  <c r="AF54" i="1"/>
  <c r="AG53" i="1"/>
  <c r="AI257" i="1" l="1"/>
  <c r="AF55" i="1"/>
  <c r="AG54" i="1"/>
  <c r="AI258" i="1" l="1"/>
  <c r="AF56" i="1"/>
  <c r="AG55" i="1"/>
  <c r="AI259" i="1" l="1"/>
  <c r="AF57" i="1"/>
  <c r="AG56" i="1"/>
  <c r="AI260" i="1" l="1"/>
  <c r="AF58" i="1"/>
  <c r="AG57" i="1"/>
  <c r="AI261" i="1" l="1"/>
  <c r="AF59" i="1"/>
  <c r="AG58" i="1"/>
  <c r="AI262" i="1" l="1"/>
  <c r="AF60" i="1"/>
  <c r="AG59" i="1"/>
  <c r="AI263" i="1" l="1"/>
  <c r="AF61" i="1"/>
  <c r="AG60" i="1"/>
  <c r="AI264" i="1" l="1"/>
  <c r="AF62" i="1"/>
  <c r="AG61" i="1"/>
  <c r="AI265" i="1" l="1"/>
  <c r="AF63" i="1"/>
  <c r="AG62" i="1"/>
  <c r="AI266" i="1" l="1"/>
  <c r="AF64" i="1"/>
  <c r="AG63" i="1"/>
  <c r="AI267" i="1" l="1"/>
  <c r="AF65" i="1"/>
  <c r="AG64" i="1"/>
  <c r="AI268" i="1" l="1"/>
  <c r="AF66" i="1"/>
  <c r="AG65" i="1"/>
  <c r="AI269" i="1" l="1"/>
  <c r="AF67" i="1"/>
  <c r="AG66" i="1"/>
  <c r="AI270" i="1" l="1"/>
  <c r="AF68" i="1"/>
  <c r="AG67" i="1"/>
  <c r="AI271" i="1" l="1"/>
  <c r="AF69" i="1"/>
  <c r="AG68" i="1"/>
  <c r="AI272" i="1" l="1"/>
  <c r="AF70" i="1"/>
  <c r="AG69" i="1"/>
  <c r="AI273" i="1" l="1"/>
  <c r="AF71" i="1"/>
  <c r="AG70" i="1"/>
  <c r="AI274" i="1" l="1"/>
  <c r="AF72" i="1"/>
  <c r="AG71" i="1"/>
  <c r="AI275" i="1" l="1"/>
  <c r="AF73" i="1"/>
  <c r="AG72" i="1"/>
  <c r="AI276" i="1" l="1"/>
  <c r="AF74" i="1"/>
  <c r="AG73" i="1"/>
  <c r="AI277" i="1" l="1"/>
  <c r="AF75" i="1"/>
  <c r="AG74" i="1"/>
  <c r="AI278" i="1" l="1"/>
  <c r="AF76" i="1"/>
  <c r="AG75" i="1"/>
  <c r="AI279" i="1" l="1"/>
  <c r="AF77" i="1"/>
  <c r="AG76" i="1"/>
  <c r="AI280" i="1" l="1"/>
  <c r="AF78" i="1"/>
  <c r="AG77" i="1"/>
  <c r="AI281" i="1" l="1"/>
  <c r="AF79" i="1"/>
  <c r="AG78" i="1"/>
  <c r="AI282" i="1" l="1"/>
  <c r="AF80" i="1"/>
  <c r="AG79" i="1"/>
  <c r="AI283" i="1" l="1"/>
  <c r="AF81" i="1"/>
  <c r="AG80" i="1"/>
  <c r="AI284" i="1" l="1"/>
  <c r="AF82" i="1"/>
  <c r="AG81" i="1"/>
  <c r="AI285" i="1" l="1"/>
  <c r="AF83" i="1"/>
  <c r="AG82" i="1"/>
  <c r="AI286" i="1" l="1"/>
  <c r="AF84" i="1"/>
  <c r="AG83" i="1"/>
  <c r="AI287" i="1" l="1"/>
  <c r="AF85" i="1"/>
  <c r="AG84" i="1"/>
  <c r="AI288" i="1" l="1"/>
  <c r="AF86" i="1"/>
  <c r="AG85" i="1"/>
  <c r="AI289" i="1" l="1"/>
  <c r="AF87" i="1"/>
  <c r="AG86" i="1"/>
  <c r="AI290" i="1" l="1"/>
  <c r="AF88" i="1"/>
  <c r="AG87" i="1"/>
  <c r="AI291" i="1" l="1"/>
  <c r="AF89" i="1"/>
  <c r="AG88" i="1"/>
  <c r="AI292" i="1" l="1"/>
  <c r="AF90" i="1"/>
  <c r="AG89" i="1"/>
  <c r="AI293" i="1" l="1"/>
  <c r="AF91" i="1"/>
  <c r="AG90" i="1"/>
  <c r="AI294" i="1" l="1"/>
  <c r="AF92" i="1"/>
  <c r="AG91" i="1"/>
  <c r="AI295" i="1" l="1"/>
  <c r="AF93" i="1"/>
  <c r="AG92" i="1"/>
  <c r="AI296" i="1" l="1"/>
  <c r="AF94" i="1"/>
  <c r="AG93" i="1"/>
  <c r="AI297" i="1" l="1"/>
  <c r="AF95" i="1"/>
  <c r="AG94" i="1"/>
  <c r="AI298" i="1" l="1"/>
  <c r="AF96" i="1"/>
  <c r="AG95" i="1"/>
  <c r="AI299" i="1" l="1"/>
  <c r="AF97" i="1"/>
  <c r="AG96" i="1"/>
  <c r="AI300" i="1" l="1"/>
  <c r="AF98" i="1"/>
  <c r="AG97" i="1"/>
  <c r="AI301" i="1" l="1"/>
  <c r="AF99" i="1"/>
  <c r="AG98" i="1"/>
  <c r="AI302" i="1" l="1"/>
  <c r="AF100" i="1"/>
  <c r="AG99" i="1"/>
  <c r="AI303" i="1" l="1"/>
  <c r="AF101" i="1"/>
  <c r="AG100" i="1"/>
  <c r="AI304" i="1" l="1"/>
  <c r="AF102" i="1"/>
  <c r="AG101" i="1"/>
  <c r="AI305" i="1" l="1"/>
  <c r="AF103" i="1"/>
  <c r="AG102" i="1"/>
  <c r="AI306" i="1" l="1"/>
  <c r="AF104" i="1"/>
  <c r="AG103" i="1"/>
  <c r="AI307" i="1" l="1"/>
  <c r="AF105" i="1"/>
  <c r="AG104" i="1"/>
  <c r="AI308" i="1" l="1"/>
  <c r="AF106" i="1"/>
  <c r="AG105" i="1"/>
  <c r="AI309" i="1" l="1"/>
  <c r="AF107" i="1"/>
  <c r="AG106" i="1"/>
  <c r="AI310" i="1" l="1"/>
  <c r="AF108" i="1"/>
  <c r="AG107" i="1"/>
  <c r="AI311" i="1" l="1"/>
  <c r="AF109" i="1"/>
  <c r="AG108" i="1"/>
  <c r="AI312" i="1" l="1"/>
  <c r="AF110" i="1"/>
  <c r="AG109" i="1"/>
  <c r="AI313" i="1" l="1"/>
  <c r="AF111" i="1"/>
  <c r="AG110" i="1"/>
  <c r="AI314" i="1" l="1"/>
  <c r="AF112" i="1"/>
  <c r="AG111" i="1"/>
  <c r="AI315" i="1" l="1"/>
  <c r="AF113" i="1"/>
  <c r="AG112" i="1"/>
  <c r="AI316" i="1" l="1"/>
  <c r="AF114" i="1"/>
  <c r="AG113" i="1"/>
  <c r="AI317" i="1" l="1"/>
  <c r="AF115" i="1"/>
  <c r="AG114" i="1"/>
  <c r="AI318" i="1" l="1"/>
  <c r="AF116" i="1"/>
  <c r="AG115" i="1"/>
  <c r="AI319" i="1" l="1"/>
  <c r="AF117" i="1"/>
  <c r="AG116" i="1"/>
  <c r="AI320" i="1" l="1"/>
  <c r="AF118" i="1"/>
  <c r="AG117" i="1"/>
  <c r="AI321" i="1" l="1"/>
  <c r="AF119" i="1"/>
  <c r="AG118" i="1"/>
  <c r="AI322" i="1" l="1"/>
  <c r="AF120" i="1"/>
  <c r="AG119" i="1"/>
  <c r="AI323" i="1" l="1"/>
  <c r="AF121" i="1"/>
  <c r="AG120" i="1"/>
  <c r="AI324" i="1" l="1"/>
  <c r="AF122" i="1"/>
  <c r="AG121" i="1"/>
  <c r="AI325" i="1" l="1"/>
  <c r="AF123" i="1"/>
  <c r="AG122" i="1"/>
  <c r="AI326" i="1" l="1"/>
  <c r="AF124" i="1"/>
  <c r="AG123" i="1"/>
  <c r="AI327" i="1" l="1"/>
  <c r="AF125" i="1"/>
  <c r="AG124" i="1"/>
  <c r="AI328" i="1" l="1"/>
  <c r="AF126" i="1"/>
  <c r="AG125" i="1"/>
  <c r="AI329" i="1" l="1"/>
  <c r="AF127" i="1"/>
  <c r="AG126" i="1"/>
  <c r="AI330" i="1" l="1"/>
  <c r="AF128" i="1"/>
  <c r="AG127" i="1"/>
  <c r="AI331" i="1" l="1"/>
  <c r="AF129" i="1"/>
  <c r="AG128" i="1"/>
  <c r="AI332" i="1" l="1"/>
  <c r="AF130" i="1"/>
  <c r="AG129" i="1"/>
  <c r="AI333" i="1" l="1"/>
  <c r="AF131" i="1"/>
  <c r="AG130" i="1"/>
  <c r="AI334" i="1" l="1"/>
  <c r="AF132" i="1"/>
  <c r="AG131" i="1"/>
  <c r="AI335" i="1" l="1"/>
  <c r="AF133" i="1"/>
  <c r="AG132" i="1"/>
  <c r="AI336" i="1" l="1"/>
  <c r="AF134" i="1"/>
  <c r="AG133" i="1"/>
  <c r="AI337" i="1" l="1"/>
  <c r="AF135" i="1"/>
  <c r="AG134" i="1"/>
  <c r="AI338" i="1" l="1"/>
  <c r="AF136" i="1"/>
  <c r="AG135" i="1"/>
  <c r="AI339" i="1" l="1"/>
  <c r="AF137" i="1"/>
  <c r="AG136" i="1"/>
  <c r="AI340" i="1" l="1"/>
  <c r="AF138" i="1"/>
  <c r="AG137" i="1"/>
  <c r="AI341" i="1" l="1"/>
  <c r="AF139" i="1"/>
  <c r="AG138" i="1"/>
  <c r="AI342" i="1" l="1"/>
  <c r="AF140" i="1"/>
  <c r="AG139" i="1"/>
  <c r="AI343" i="1" l="1"/>
  <c r="AF141" i="1"/>
  <c r="AG140" i="1"/>
  <c r="AI344" i="1" l="1"/>
  <c r="AF142" i="1"/>
  <c r="AG141" i="1"/>
  <c r="AI345" i="1" l="1"/>
  <c r="AF143" i="1"/>
  <c r="AG142" i="1"/>
  <c r="AI346" i="1" l="1"/>
  <c r="AF144" i="1"/>
  <c r="AG143" i="1"/>
  <c r="AI347" i="1" l="1"/>
  <c r="AF145" i="1"/>
  <c r="AG144" i="1"/>
  <c r="AI348" i="1" l="1"/>
  <c r="AF146" i="1"/>
  <c r="AG145" i="1"/>
  <c r="AI349" i="1" l="1"/>
  <c r="AF147" i="1"/>
  <c r="AG146" i="1"/>
  <c r="AI350" i="1" l="1"/>
  <c r="AF148" i="1"/>
  <c r="AG147" i="1"/>
  <c r="AI351" i="1" l="1"/>
  <c r="AF149" i="1"/>
  <c r="AG148" i="1"/>
  <c r="AI352" i="1" l="1"/>
  <c r="AF150" i="1"/>
  <c r="AG149" i="1"/>
  <c r="AI353" i="1" l="1"/>
  <c r="AF151" i="1"/>
  <c r="AG150" i="1"/>
  <c r="AI354" i="1" l="1"/>
  <c r="AF152" i="1"/>
  <c r="AG151" i="1"/>
  <c r="AI355" i="1" l="1"/>
  <c r="AF153" i="1"/>
  <c r="AG152" i="1"/>
  <c r="AI356" i="1" l="1"/>
  <c r="AF154" i="1"/>
  <c r="AG153" i="1"/>
  <c r="AI357" i="1" l="1"/>
  <c r="AF155" i="1"/>
  <c r="AG154" i="1"/>
  <c r="AI358" i="1" l="1"/>
  <c r="AF156" i="1"/>
  <c r="AG155" i="1"/>
  <c r="AI359" i="1" l="1"/>
  <c r="AF157" i="1"/>
  <c r="AG156" i="1"/>
  <c r="AI360" i="1" l="1"/>
  <c r="AF158" i="1"/>
  <c r="AG157" i="1"/>
  <c r="AI361" i="1" l="1"/>
  <c r="AF159" i="1"/>
  <c r="AG158" i="1"/>
  <c r="AI362" i="1" l="1"/>
  <c r="AF160" i="1"/>
  <c r="AG159" i="1"/>
  <c r="AI363" i="1" l="1"/>
  <c r="AF161" i="1"/>
  <c r="AG160" i="1"/>
  <c r="AI364" i="1" l="1"/>
  <c r="AF162" i="1"/>
  <c r="AG161" i="1"/>
  <c r="AI365" i="1" l="1"/>
  <c r="AF163" i="1"/>
  <c r="AG162" i="1"/>
  <c r="AI366" i="1" l="1"/>
  <c r="AF164" i="1"/>
  <c r="AG163" i="1"/>
  <c r="AI367" i="1" l="1"/>
  <c r="AF165" i="1"/>
  <c r="AG164" i="1"/>
  <c r="AI368" i="1" l="1"/>
  <c r="AF166" i="1"/>
  <c r="AG165" i="1"/>
  <c r="AI369" i="1" l="1"/>
  <c r="AF167" i="1"/>
  <c r="AG166" i="1"/>
  <c r="AI370" i="1" l="1"/>
  <c r="AF168" i="1"/>
  <c r="AG167" i="1"/>
  <c r="AI371" i="1" l="1"/>
  <c r="AF169" i="1"/>
  <c r="AG168" i="1"/>
  <c r="AI372" i="1" l="1"/>
  <c r="AF170" i="1"/>
  <c r="AG169" i="1"/>
  <c r="AI373" i="1" l="1"/>
  <c r="AF171" i="1"/>
  <c r="AG170" i="1"/>
  <c r="AI374" i="1" l="1"/>
  <c r="AF172" i="1"/>
  <c r="AG171" i="1"/>
  <c r="AI375" i="1" l="1"/>
  <c r="AF173" i="1"/>
  <c r="AG172" i="1"/>
  <c r="AI376" i="1" l="1"/>
  <c r="AF174" i="1"/>
  <c r="AG173" i="1"/>
  <c r="AI377" i="1" l="1"/>
  <c r="AF175" i="1"/>
  <c r="AG174" i="1"/>
  <c r="AI378" i="1" l="1"/>
  <c r="AF176" i="1"/>
  <c r="AG175" i="1"/>
  <c r="AI379" i="1" l="1"/>
  <c r="AF177" i="1"/>
  <c r="AG176" i="1"/>
  <c r="AI380" i="1" l="1"/>
  <c r="AF178" i="1"/>
  <c r="AG177" i="1"/>
  <c r="AI381" i="1" l="1"/>
  <c r="AF179" i="1"/>
  <c r="AG178" i="1"/>
  <c r="AI382" i="1" l="1"/>
  <c r="AF180" i="1"/>
  <c r="AG179" i="1"/>
  <c r="AI383" i="1" l="1"/>
  <c r="AF181" i="1"/>
  <c r="AG180" i="1"/>
  <c r="AI384" i="1" l="1"/>
  <c r="AF182" i="1"/>
  <c r="AG181" i="1"/>
  <c r="AI385" i="1" l="1"/>
  <c r="AF183" i="1"/>
  <c r="AG182" i="1"/>
  <c r="AI386" i="1" l="1"/>
  <c r="AF184" i="1"/>
  <c r="AG183" i="1"/>
  <c r="AI387" i="1" l="1"/>
  <c r="AF185" i="1"/>
  <c r="AG184" i="1"/>
  <c r="AI388" i="1" l="1"/>
  <c r="AF186" i="1"/>
  <c r="AG185" i="1"/>
  <c r="AI389" i="1" l="1"/>
  <c r="AF187" i="1"/>
  <c r="AG186" i="1"/>
  <c r="AI390" i="1" l="1"/>
  <c r="AF188" i="1"/>
  <c r="AG187" i="1"/>
  <c r="AI391" i="1" l="1"/>
  <c r="AF189" i="1"/>
  <c r="AG188" i="1"/>
  <c r="AI392" i="1" l="1"/>
  <c r="AF190" i="1"/>
  <c r="AG189" i="1"/>
  <c r="AI393" i="1" l="1"/>
  <c r="AF191" i="1"/>
  <c r="AG190" i="1"/>
  <c r="AI394" i="1" l="1"/>
  <c r="AF192" i="1"/>
  <c r="AG191" i="1"/>
  <c r="AI395" i="1" l="1"/>
  <c r="AF193" i="1"/>
  <c r="AG192" i="1"/>
  <c r="AI396" i="1" l="1"/>
  <c r="AF194" i="1"/>
  <c r="AG193" i="1"/>
  <c r="AI397" i="1" l="1"/>
  <c r="AF195" i="1"/>
  <c r="AG194" i="1"/>
  <c r="AI398" i="1" l="1"/>
  <c r="AF196" i="1"/>
  <c r="AG195" i="1"/>
  <c r="AI399" i="1" l="1"/>
  <c r="AF197" i="1"/>
  <c r="AG196" i="1"/>
  <c r="AI400" i="1" l="1"/>
  <c r="AF198" i="1"/>
  <c r="AG197" i="1"/>
  <c r="AI401" i="1" l="1"/>
  <c r="AF199" i="1"/>
  <c r="AG198" i="1"/>
  <c r="AI402" i="1" l="1"/>
  <c r="AF200" i="1"/>
  <c r="AG199" i="1"/>
  <c r="AI403" i="1" l="1"/>
  <c r="AF201" i="1"/>
  <c r="AG200" i="1"/>
  <c r="AG201" i="1" l="1"/>
  <c r="AF202" i="1"/>
  <c r="AI404" i="1"/>
  <c r="AF203" i="1" l="1"/>
  <c r="AG202" i="1"/>
  <c r="AI405" i="1"/>
  <c r="AF204" i="1" l="1"/>
  <c r="AG203" i="1"/>
  <c r="AI406" i="1"/>
  <c r="AF205" i="1" l="1"/>
  <c r="AG204" i="1"/>
  <c r="AI407" i="1"/>
  <c r="AF206" i="1" l="1"/>
  <c r="AG205" i="1"/>
  <c r="AI408" i="1"/>
  <c r="AF207" i="1" l="1"/>
  <c r="AG206" i="1"/>
  <c r="AI409" i="1"/>
  <c r="AF208" i="1" l="1"/>
  <c r="AG207" i="1"/>
  <c r="AI410" i="1"/>
  <c r="AF209" i="1" l="1"/>
  <c r="AG208" i="1"/>
  <c r="AI411" i="1"/>
  <c r="AF210" i="1" l="1"/>
  <c r="AG209" i="1"/>
  <c r="AI412" i="1"/>
  <c r="AF211" i="1" l="1"/>
  <c r="AG210" i="1"/>
  <c r="AI413" i="1"/>
  <c r="AF212" i="1" l="1"/>
  <c r="AG211" i="1"/>
  <c r="AI414" i="1"/>
  <c r="AF213" i="1" l="1"/>
  <c r="AG212" i="1"/>
  <c r="AI415" i="1"/>
  <c r="AF214" i="1" l="1"/>
  <c r="AG213" i="1"/>
  <c r="AI416" i="1"/>
  <c r="AF215" i="1" l="1"/>
  <c r="AG214" i="1"/>
  <c r="AI417" i="1"/>
  <c r="AF216" i="1" l="1"/>
  <c r="AG215" i="1"/>
  <c r="AI418" i="1"/>
  <c r="AF217" i="1" l="1"/>
  <c r="AG216" i="1"/>
  <c r="AI419" i="1"/>
  <c r="AF218" i="1" l="1"/>
  <c r="AG217" i="1"/>
  <c r="AI420" i="1"/>
  <c r="AF219" i="1" l="1"/>
  <c r="AG218" i="1"/>
  <c r="AI421" i="1"/>
  <c r="AF220" i="1" l="1"/>
  <c r="AG219" i="1"/>
  <c r="AI422" i="1"/>
  <c r="AF221" i="1" l="1"/>
  <c r="AG220" i="1"/>
  <c r="AI423" i="1"/>
  <c r="AF222" i="1" l="1"/>
  <c r="AG221" i="1"/>
  <c r="AI424" i="1"/>
  <c r="AF223" i="1" l="1"/>
  <c r="AG222" i="1"/>
  <c r="AI425" i="1"/>
  <c r="AF224" i="1" l="1"/>
  <c r="AG223" i="1"/>
  <c r="AI426" i="1"/>
  <c r="AF225" i="1" l="1"/>
  <c r="AG224" i="1"/>
  <c r="AI427" i="1"/>
  <c r="AF226" i="1" l="1"/>
  <c r="AG225" i="1"/>
  <c r="AI428" i="1"/>
  <c r="AF227" i="1" l="1"/>
  <c r="AG226" i="1"/>
  <c r="AI429" i="1"/>
  <c r="AF228" i="1" l="1"/>
  <c r="AG227" i="1"/>
  <c r="AI430" i="1"/>
  <c r="AF229" i="1" l="1"/>
  <c r="AG228" i="1"/>
  <c r="AI431" i="1"/>
  <c r="AF230" i="1" l="1"/>
  <c r="AG229" i="1"/>
  <c r="AI432" i="1"/>
  <c r="AF231" i="1" l="1"/>
  <c r="AG230" i="1"/>
  <c r="AI433" i="1"/>
  <c r="AF232" i="1" l="1"/>
  <c r="AG231" i="1"/>
  <c r="AI434" i="1"/>
  <c r="AF233" i="1" l="1"/>
  <c r="AG232" i="1"/>
  <c r="AI435" i="1"/>
  <c r="AF234" i="1" l="1"/>
  <c r="AG233" i="1"/>
  <c r="AI436" i="1"/>
  <c r="AF235" i="1" l="1"/>
  <c r="AG234" i="1"/>
  <c r="AI437" i="1"/>
  <c r="AF236" i="1" l="1"/>
  <c r="AG235" i="1"/>
  <c r="AI438" i="1"/>
  <c r="AF237" i="1" l="1"/>
  <c r="AG236" i="1"/>
  <c r="AI439" i="1"/>
  <c r="AF238" i="1" l="1"/>
  <c r="AG237" i="1"/>
  <c r="AI440" i="1"/>
  <c r="AF239" i="1" l="1"/>
  <c r="AG238" i="1"/>
  <c r="AI441" i="1"/>
  <c r="AF240" i="1" l="1"/>
  <c r="AG239" i="1"/>
  <c r="AI442" i="1"/>
  <c r="AF241" i="1" l="1"/>
  <c r="AG240" i="1"/>
  <c r="AI443" i="1"/>
  <c r="AF242" i="1" l="1"/>
  <c r="AG241" i="1"/>
  <c r="AI444" i="1"/>
  <c r="AF243" i="1" l="1"/>
  <c r="AG242" i="1"/>
  <c r="AI445" i="1"/>
  <c r="AF244" i="1" l="1"/>
  <c r="AG243" i="1"/>
  <c r="AI446" i="1"/>
  <c r="AF245" i="1" l="1"/>
  <c r="AG244" i="1"/>
  <c r="AI447" i="1"/>
  <c r="AF246" i="1" l="1"/>
  <c r="AG245" i="1"/>
  <c r="AI448" i="1"/>
  <c r="AF247" i="1" l="1"/>
  <c r="AG246" i="1"/>
  <c r="AI449" i="1"/>
  <c r="AF248" i="1" l="1"/>
  <c r="AG247" i="1"/>
  <c r="AI450" i="1"/>
  <c r="AF249" i="1" l="1"/>
  <c r="AG248" i="1"/>
  <c r="AI451" i="1"/>
  <c r="AF250" i="1" l="1"/>
  <c r="AG249" i="1"/>
  <c r="AI452" i="1"/>
  <c r="AF251" i="1" l="1"/>
  <c r="AG250" i="1"/>
  <c r="AI453" i="1"/>
  <c r="AF252" i="1" l="1"/>
  <c r="AG251" i="1"/>
  <c r="AI454" i="1"/>
  <c r="AF253" i="1" l="1"/>
  <c r="AG252" i="1"/>
  <c r="AI455" i="1"/>
  <c r="AF254" i="1" l="1"/>
  <c r="AG253" i="1"/>
  <c r="AI456" i="1"/>
  <c r="AF255" i="1" l="1"/>
  <c r="AG254" i="1"/>
  <c r="AI457" i="1"/>
  <c r="AF256" i="1" l="1"/>
  <c r="AG255" i="1"/>
  <c r="AI458" i="1"/>
  <c r="AF257" i="1" l="1"/>
  <c r="AG256" i="1"/>
  <c r="AI459" i="1"/>
  <c r="AF258" i="1" l="1"/>
  <c r="AG257" i="1"/>
  <c r="AI460" i="1"/>
  <c r="AF259" i="1" l="1"/>
  <c r="AG258" i="1"/>
  <c r="AI461" i="1"/>
  <c r="AF260" i="1" l="1"/>
  <c r="AG259" i="1"/>
  <c r="AI462" i="1"/>
  <c r="AF261" i="1" l="1"/>
  <c r="AG260" i="1"/>
  <c r="AI463" i="1"/>
  <c r="AF262" i="1" l="1"/>
  <c r="AG261" i="1"/>
  <c r="AI464" i="1"/>
  <c r="AF263" i="1" l="1"/>
  <c r="AG262" i="1"/>
  <c r="AI465" i="1"/>
  <c r="AF264" i="1" l="1"/>
  <c r="AG263" i="1"/>
  <c r="AI466" i="1"/>
  <c r="AF265" i="1" l="1"/>
  <c r="AG264" i="1"/>
  <c r="AI467" i="1"/>
  <c r="AF266" i="1" l="1"/>
  <c r="AG265" i="1"/>
  <c r="AI468" i="1"/>
  <c r="AF267" i="1" l="1"/>
  <c r="AG266" i="1"/>
  <c r="AI469" i="1"/>
  <c r="AF268" i="1" l="1"/>
  <c r="AG267" i="1"/>
  <c r="AI470" i="1"/>
  <c r="AF269" i="1" l="1"/>
  <c r="AG268" i="1"/>
  <c r="AI471" i="1"/>
  <c r="AF270" i="1" l="1"/>
  <c r="AG269" i="1"/>
  <c r="AI472" i="1"/>
  <c r="AF271" i="1" l="1"/>
  <c r="AG270" i="1"/>
  <c r="AI473" i="1"/>
  <c r="AF272" i="1" l="1"/>
  <c r="AG271" i="1"/>
  <c r="AI474" i="1"/>
  <c r="AF273" i="1" l="1"/>
  <c r="AG272" i="1"/>
  <c r="AI475" i="1"/>
  <c r="AF274" i="1" l="1"/>
  <c r="AG273" i="1"/>
  <c r="AI476" i="1"/>
  <c r="AF275" i="1" l="1"/>
  <c r="AG274" i="1"/>
  <c r="AI477" i="1"/>
  <c r="AF276" i="1" l="1"/>
  <c r="AG275" i="1"/>
  <c r="AI478" i="1"/>
  <c r="AF277" i="1" l="1"/>
  <c r="AG276" i="1"/>
  <c r="AI479" i="1"/>
  <c r="AF278" i="1" l="1"/>
  <c r="AG277" i="1"/>
  <c r="AI480" i="1"/>
  <c r="AF279" i="1" l="1"/>
  <c r="AG278" i="1"/>
  <c r="AI481" i="1"/>
  <c r="AF280" i="1" l="1"/>
  <c r="AG279" i="1"/>
  <c r="AI482" i="1"/>
  <c r="AF281" i="1" l="1"/>
  <c r="AG280" i="1"/>
  <c r="AI483" i="1"/>
  <c r="AF282" i="1" l="1"/>
  <c r="AG281" i="1"/>
  <c r="AI484" i="1"/>
  <c r="AF283" i="1" l="1"/>
  <c r="AG282" i="1"/>
  <c r="AI485" i="1"/>
  <c r="AF284" i="1" l="1"/>
  <c r="AG283" i="1"/>
  <c r="AI486" i="1"/>
  <c r="AF285" i="1" l="1"/>
  <c r="AG284" i="1"/>
  <c r="AI487" i="1"/>
  <c r="AF286" i="1" l="1"/>
  <c r="AG285" i="1"/>
  <c r="AI488" i="1"/>
  <c r="AF287" i="1" l="1"/>
  <c r="AG286" i="1"/>
  <c r="AI489" i="1"/>
  <c r="AF288" i="1" l="1"/>
  <c r="AG287" i="1"/>
  <c r="AI490" i="1"/>
  <c r="AF289" i="1" l="1"/>
  <c r="AG288" i="1"/>
  <c r="AI491" i="1"/>
  <c r="AF290" i="1" l="1"/>
  <c r="AG289" i="1"/>
  <c r="AI492" i="1"/>
  <c r="AF291" i="1" l="1"/>
  <c r="AG290" i="1"/>
  <c r="AI493" i="1"/>
  <c r="AF292" i="1" l="1"/>
  <c r="AG291" i="1"/>
  <c r="AI494" i="1"/>
  <c r="AF293" i="1" l="1"/>
  <c r="AG292" i="1"/>
  <c r="AI495" i="1"/>
  <c r="AF294" i="1" l="1"/>
  <c r="AG293" i="1"/>
  <c r="AI496" i="1"/>
  <c r="AF295" i="1" l="1"/>
  <c r="AG294" i="1"/>
  <c r="AI497" i="1"/>
  <c r="AF296" i="1" l="1"/>
  <c r="AG295" i="1"/>
  <c r="AI498" i="1"/>
  <c r="AF297" i="1" l="1"/>
  <c r="AG296" i="1"/>
  <c r="AI499" i="1"/>
  <c r="AF298" i="1" l="1"/>
  <c r="AG297" i="1"/>
  <c r="AI500" i="1"/>
  <c r="AF299" i="1" l="1"/>
  <c r="AG298" i="1"/>
  <c r="AF300" i="1" l="1"/>
  <c r="AG299" i="1"/>
  <c r="AF301" i="1" l="1"/>
  <c r="AG300" i="1"/>
  <c r="AF302" i="1" l="1"/>
  <c r="AG301" i="1"/>
  <c r="AF303" i="1" l="1"/>
  <c r="AG302" i="1"/>
  <c r="AF304" i="1" l="1"/>
  <c r="AG303" i="1"/>
  <c r="AF305" i="1" l="1"/>
  <c r="AG304" i="1"/>
  <c r="AF306" i="1" l="1"/>
  <c r="AG305" i="1"/>
  <c r="AF307" i="1" l="1"/>
  <c r="AG306" i="1"/>
  <c r="AF308" i="1" l="1"/>
  <c r="AG307" i="1"/>
  <c r="AF309" i="1" l="1"/>
  <c r="AG308" i="1"/>
  <c r="AF310" i="1" l="1"/>
  <c r="AG309" i="1"/>
  <c r="AF311" i="1" l="1"/>
  <c r="AG310" i="1"/>
  <c r="AF312" i="1" l="1"/>
  <c r="AG311" i="1"/>
  <c r="AF313" i="1" l="1"/>
  <c r="AG312" i="1"/>
  <c r="AF314" i="1" l="1"/>
  <c r="AG313" i="1"/>
  <c r="AF315" i="1" l="1"/>
  <c r="AG314" i="1"/>
  <c r="AF316" i="1" l="1"/>
  <c r="AG315" i="1"/>
  <c r="AF317" i="1" l="1"/>
  <c r="AG316" i="1"/>
  <c r="AF318" i="1" l="1"/>
  <c r="AG317" i="1"/>
  <c r="AF319" i="1" l="1"/>
  <c r="AG318" i="1"/>
  <c r="AF320" i="1" l="1"/>
  <c r="AG319" i="1"/>
  <c r="AF321" i="1" l="1"/>
  <c r="AG320" i="1"/>
  <c r="AF322" i="1" l="1"/>
  <c r="AG321" i="1"/>
  <c r="AF323" i="1" l="1"/>
  <c r="AG322" i="1"/>
  <c r="AF324" i="1" l="1"/>
  <c r="AG323" i="1"/>
  <c r="AF325" i="1" l="1"/>
  <c r="AG324" i="1"/>
  <c r="AF326" i="1" l="1"/>
  <c r="AG325" i="1"/>
  <c r="AF327" i="1" l="1"/>
  <c r="AG326" i="1"/>
  <c r="AF328" i="1" l="1"/>
  <c r="AG327" i="1"/>
  <c r="AF329" i="1" l="1"/>
  <c r="AG328" i="1"/>
  <c r="AF330" i="1" l="1"/>
  <c r="AG329" i="1"/>
  <c r="AF331" i="1" l="1"/>
  <c r="AG330" i="1"/>
  <c r="AF332" i="1" l="1"/>
  <c r="AG331" i="1"/>
  <c r="AF333" i="1" l="1"/>
  <c r="AG332" i="1"/>
  <c r="AF334" i="1" l="1"/>
  <c r="AG333" i="1"/>
  <c r="AF335" i="1" l="1"/>
  <c r="AG334" i="1"/>
  <c r="AF336" i="1" l="1"/>
  <c r="AG335" i="1"/>
  <c r="AF337" i="1" l="1"/>
  <c r="AG336" i="1"/>
  <c r="AF338" i="1" l="1"/>
  <c r="AG337" i="1"/>
  <c r="AF339" i="1" l="1"/>
  <c r="AG338" i="1"/>
  <c r="AF340" i="1" l="1"/>
  <c r="AG339" i="1"/>
  <c r="AF341" i="1" l="1"/>
  <c r="AG340" i="1"/>
  <c r="AF342" i="1" l="1"/>
  <c r="AG341" i="1"/>
  <c r="AF343" i="1" l="1"/>
  <c r="AG342" i="1"/>
  <c r="AF344" i="1" l="1"/>
  <c r="AG343" i="1"/>
  <c r="AF345" i="1" l="1"/>
  <c r="AG344" i="1"/>
  <c r="AF346" i="1" l="1"/>
  <c r="AG345" i="1"/>
  <c r="AF347" i="1" l="1"/>
  <c r="AG346" i="1"/>
  <c r="AF348" i="1" l="1"/>
  <c r="AG347" i="1"/>
  <c r="AF349" i="1" l="1"/>
  <c r="AG348" i="1"/>
  <c r="AF350" i="1" l="1"/>
  <c r="AG349" i="1"/>
  <c r="AF351" i="1" l="1"/>
  <c r="AG350" i="1"/>
  <c r="AF352" i="1" l="1"/>
  <c r="AG351" i="1"/>
  <c r="AF353" i="1" l="1"/>
  <c r="AG352" i="1"/>
  <c r="AF354" i="1" l="1"/>
  <c r="AG353" i="1"/>
  <c r="AF355" i="1" l="1"/>
  <c r="AG354" i="1"/>
  <c r="AF356" i="1" l="1"/>
  <c r="AG355" i="1"/>
  <c r="AF357" i="1" l="1"/>
  <c r="AG356" i="1"/>
  <c r="AF358" i="1" l="1"/>
  <c r="AG357" i="1"/>
  <c r="AF359" i="1" l="1"/>
  <c r="AG358" i="1"/>
  <c r="AF360" i="1" l="1"/>
  <c r="AG359" i="1"/>
  <c r="AF361" i="1" l="1"/>
  <c r="AG360" i="1"/>
  <c r="AF362" i="1" l="1"/>
  <c r="AG361" i="1"/>
  <c r="AF363" i="1" l="1"/>
  <c r="AG362" i="1"/>
  <c r="AF364" i="1" l="1"/>
  <c r="AG363" i="1"/>
  <c r="AF365" i="1" l="1"/>
  <c r="AG364" i="1"/>
  <c r="AF366" i="1" l="1"/>
  <c r="AG365" i="1"/>
  <c r="AF367" i="1" l="1"/>
  <c r="AG366" i="1"/>
  <c r="AF368" i="1" l="1"/>
  <c r="AG367" i="1"/>
  <c r="AF369" i="1" l="1"/>
  <c r="AG368" i="1"/>
  <c r="AF370" i="1" l="1"/>
  <c r="AG369" i="1"/>
  <c r="AF371" i="1" l="1"/>
  <c r="AG370" i="1"/>
  <c r="AF372" i="1" l="1"/>
  <c r="AG371" i="1"/>
  <c r="AF373" i="1" l="1"/>
  <c r="AG372" i="1"/>
  <c r="AF374" i="1" l="1"/>
  <c r="AG373" i="1"/>
  <c r="AF375" i="1" l="1"/>
  <c r="AG374" i="1"/>
  <c r="AF376" i="1" l="1"/>
  <c r="AG375" i="1"/>
  <c r="AF377" i="1" l="1"/>
  <c r="AG376" i="1"/>
  <c r="AF378" i="1" l="1"/>
  <c r="AG377" i="1"/>
  <c r="AF379" i="1" l="1"/>
  <c r="AG378" i="1"/>
  <c r="AF380" i="1" l="1"/>
  <c r="AG379" i="1"/>
  <c r="AF381" i="1" l="1"/>
  <c r="AG380" i="1"/>
  <c r="AF382" i="1" l="1"/>
  <c r="AG381" i="1"/>
  <c r="AF383" i="1" l="1"/>
  <c r="AG382" i="1"/>
  <c r="AF384" i="1" l="1"/>
  <c r="AG383" i="1"/>
  <c r="AF385" i="1" l="1"/>
  <c r="AG384" i="1"/>
  <c r="AF386" i="1" l="1"/>
  <c r="AG385" i="1"/>
  <c r="AF387" i="1" l="1"/>
  <c r="AG386" i="1"/>
  <c r="AF388" i="1" l="1"/>
  <c r="AG387" i="1"/>
  <c r="AF389" i="1" l="1"/>
  <c r="AG388" i="1"/>
  <c r="AF390" i="1" l="1"/>
  <c r="AG389" i="1"/>
  <c r="AF391" i="1" l="1"/>
  <c r="AG390" i="1"/>
  <c r="AF392" i="1" l="1"/>
  <c r="AG391" i="1"/>
  <c r="AF393" i="1" l="1"/>
  <c r="AG392" i="1"/>
  <c r="AF394" i="1" l="1"/>
  <c r="AG393" i="1"/>
  <c r="AF395" i="1" l="1"/>
  <c r="AG394" i="1"/>
  <c r="AF396" i="1" l="1"/>
  <c r="AG395" i="1"/>
  <c r="AF397" i="1" l="1"/>
  <c r="AG396" i="1"/>
  <c r="AF398" i="1" l="1"/>
  <c r="AG397" i="1"/>
  <c r="AF399" i="1" l="1"/>
  <c r="AG398" i="1"/>
  <c r="AF400" i="1" l="1"/>
  <c r="AG399" i="1"/>
  <c r="AF401" i="1" l="1"/>
  <c r="AG400" i="1"/>
  <c r="AF402" i="1" l="1"/>
  <c r="AG401" i="1"/>
  <c r="AF403" i="1" l="1"/>
  <c r="AG402" i="1"/>
  <c r="AF404" i="1" l="1"/>
  <c r="AG403" i="1"/>
  <c r="AF405" i="1" l="1"/>
  <c r="AG404" i="1"/>
  <c r="AF406" i="1" l="1"/>
  <c r="AG405" i="1"/>
  <c r="AF407" i="1" l="1"/>
  <c r="AG406" i="1"/>
  <c r="AF408" i="1" l="1"/>
  <c r="AG407" i="1"/>
  <c r="AF409" i="1" l="1"/>
  <c r="AG408" i="1"/>
  <c r="AF410" i="1" l="1"/>
  <c r="AG409" i="1"/>
  <c r="AF411" i="1" l="1"/>
  <c r="AG410" i="1"/>
  <c r="AF412" i="1" l="1"/>
  <c r="AG411" i="1"/>
  <c r="AF413" i="1" l="1"/>
  <c r="AG412" i="1"/>
  <c r="AF414" i="1" l="1"/>
  <c r="AG413" i="1"/>
  <c r="AF415" i="1" l="1"/>
  <c r="AG414" i="1"/>
  <c r="AF416" i="1" l="1"/>
  <c r="AG415" i="1"/>
  <c r="AF417" i="1" l="1"/>
  <c r="AG416" i="1"/>
  <c r="AF418" i="1" l="1"/>
  <c r="AG417" i="1"/>
  <c r="AF419" i="1" l="1"/>
  <c r="AG418" i="1"/>
  <c r="AF420" i="1" l="1"/>
  <c r="AG419" i="1"/>
  <c r="AF421" i="1" l="1"/>
  <c r="AG420" i="1"/>
  <c r="AF422" i="1" l="1"/>
  <c r="AG421" i="1"/>
  <c r="AF423" i="1" l="1"/>
  <c r="AG422" i="1"/>
  <c r="AF424" i="1" l="1"/>
  <c r="AG423" i="1"/>
  <c r="AF425" i="1" l="1"/>
  <c r="AG424" i="1"/>
  <c r="AF426" i="1" l="1"/>
  <c r="AG425" i="1"/>
  <c r="AF427" i="1" l="1"/>
  <c r="AG426" i="1"/>
  <c r="AF428" i="1" l="1"/>
  <c r="AG427" i="1"/>
  <c r="AF429" i="1" l="1"/>
  <c r="AG428" i="1"/>
  <c r="AF430" i="1" l="1"/>
  <c r="AG429" i="1"/>
  <c r="AF431" i="1" l="1"/>
  <c r="AG430" i="1"/>
  <c r="AF432" i="1" l="1"/>
  <c r="AG431" i="1"/>
  <c r="AF433" i="1" l="1"/>
  <c r="AG432" i="1"/>
  <c r="AF434" i="1" l="1"/>
  <c r="AG433" i="1"/>
  <c r="AF435" i="1" l="1"/>
  <c r="AG434" i="1"/>
  <c r="AF436" i="1" l="1"/>
  <c r="AG435" i="1"/>
  <c r="AF437" i="1" l="1"/>
  <c r="AG436" i="1"/>
  <c r="AF438" i="1" l="1"/>
  <c r="AG437" i="1"/>
  <c r="AF439" i="1" l="1"/>
  <c r="AG438" i="1"/>
  <c r="AF440" i="1" l="1"/>
  <c r="AG439" i="1"/>
  <c r="AF441" i="1" l="1"/>
  <c r="AG440" i="1"/>
  <c r="AF442" i="1" l="1"/>
  <c r="AG441" i="1"/>
  <c r="AF443" i="1" l="1"/>
  <c r="AG442" i="1"/>
  <c r="AF444" i="1" l="1"/>
  <c r="AG443" i="1"/>
  <c r="AF445" i="1" l="1"/>
  <c r="AG444" i="1"/>
  <c r="AF446" i="1" l="1"/>
  <c r="AG445" i="1"/>
  <c r="AF447" i="1" l="1"/>
  <c r="AG446" i="1"/>
  <c r="AF448" i="1" l="1"/>
  <c r="AG447" i="1"/>
  <c r="AF449" i="1" l="1"/>
  <c r="AG448" i="1"/>
  <c r="AF450" i="1" l="1"/>
  <c r="AG449" i="1"/>
  <c r="AF451" i="1" l="1"/>
  <c r="AG450" i="1"/>
  <c r="AF452" i="1" l="1"/>
  <c r="AG451" i="1"/>
  <c r="AF453" i="1" l="1"/>
  <c r="AG452" i="1"/>
  <c r="AF454" i="1" l="1"/>
  <c r="AG453" i="1"/>
  <c r="AF455" i="1" l="1"/>
  <c r="AG454" i="1"/>
  <c r="AF456" i="1" l="1"/>
  <c r="AG455" i="1"/>
  <c r="AF457" i="1" l="1"/>
  <c r="AG456" i="1"/>
  <c r="AF458" i="1" l="1"/>
  <c r="AG457" i="1"/>
  <c r="AF459" i="1" l="1"/>
  <c r="AG458" i="1"/>
  <c r="AF460" i="1" l="1"/>
  <c r="AG459" i="1"/>
  <c r="AF461" i="1" l="1"/>
  <c r="AG460" i="1"/>
  <c r="AF462" i="1" l="1"/>
  <c r="AG461" i="1"/>
  <c r="AF463" i="1" l="1"/>
  <c r="AG462" i="1"/>
  <c r="AF464" i="1" l="1"/>
  <c r="AG463" i="1"/>
  <c r="AF465" i="1" l="1"/>
  <c r="AG464" i="1"/>
  <c r="AF466" i="1" l="1"/>
  <c r="AG465" i="1"/>
  <c r="AF467" i="1" l="1"/>
  <c r="AG466" i="1"/>
  <c r="AF468" i="1" l="1"/>
  <c r="AG467" i="1"/>
  <c r="AF469" i="1" l="1"/>
  <c r="AG468" i="1"/>
  <c r="AF470" i="1" l="1"/>
  <c r="AG469" i="1"/>
  <c r="AF471" i="1" l="1"/>
  <c r="AG470" i="1"/>
  <c r="AF472" i="1" l="1"/>
  <c r="AG471" i="1"/>
  <c r="AF473" i="1" l="1"/>
  <c r="AG472" i="1"/>
  <c r="AF474" i="1" l="1"/>
  <c r="AG473" i="1"/>
  <c r="AF475" i="1" l="1"/>
  <c r="AG474" i="1"/>
  <c r="AF476" i="1" l="1"/>
  <c r="AG475" i="1"/>
  <c r="AF477" i="1" l="1"/>
  <c r="AG476" i="1"/>
  <c r="AF478" i="1" l="1"/>
  <c r="AG477" i="1"/>
  <c r="AF479" i="1" l="1"/>
  <c r="AG478" i="1"/>
  <c r="AF480" i="1" l="1"/>
  <c r="AG479" i="1"/>
  <c r="AF481" i="1" l="1"/>
  <c r="AG480" i="1"/>
  <c r="AF482" i="1" l="1"/>
  <c r="AG481" i="1"/>
  <c r="AF483" i="1" l="1"/>
  <c r="AG482" i="1"/>
  <c r="AF484" i="1" l="1"/>
  <c r="AG483" i="1"/>
  <c r="AF485" i="1" l="1"/>
  <c r="AG484" i="1"/>
  <c r="AF486" i="1" l="1"/>
  <c r="AG485" i="1"/>
  <c r="AF487" i="1" l="1"/>
  <c r="AG486" i="1"/>
  <c r="AF488" i="1" l="1"/>
  <c r="AG487" i="1"/>
  <c r="AF489" i="1" l="1"/>
  <c r="AG488" i="1"/>
  <c r="AF490" i="1" l="1"/>
  <c r="AG489" i="1"/>
  <c r="AF491" i="1" l="1"/>
  <c r="AG490" i="1"/>
  <c r="AF492" i="1" l="1"/>
  <c r="AG491" i="1"/>
  <c r="AF493" i="1" l="1"/>
  <c r="AG492" i="1"/>
  <c r="AF494" i="1" l="1"/>
  <c r="AG493" i="1"/>
  <c r="AF495" i="1" l="1"/>
  <c r="AG494" i="1"/>
  <c r="AF496" i="1" l="1"/>
  <c r="AG495" i="1"/>
  <c r="AF497" i="1" l="1"/>
  <c r="AG496" i="1"/>
  <c r="AF498" i="1" l="1"/>
  <c r="AG497" i="1"/>
  <c r="AF499" i="1" l="1"/>
  <c r="AG498" i="1"/>
  <c r="AF500" i="1" l="1"/>
  <c r="AG499" i="1"/>
  <c r="AG500" i="1" l="1"/>
</calcChain>
</file>

<file path=xl/sharedStrings.xml><?xml version="1.0" encoding="utf-8"?>
<sst xmlns="http://schemas.openxmlformats.org/spreadsheetml/2006/main" count="33" uniqueCount="26">
  <si>
    <t>UNIDAD</t>
  </si>
  <si>
    <t>DATOS</t>
  </si>
  <si>
    <t>ECUACION DE SHOCKLEY</t>
  </si>
  <si>
    <t>VGS</t>
  </si>
  <si>
    <t>ID</t>
  </si>
  <si>
    <t>RESOLUCION</t>
  </si>
  <si>
    <t>MAX: 500</t>
  </si>
  <si>
    <t>[Ω]</t>
  </si>
  <si>
    <t>MIN: 2</t>
  </si>
  <si>
    <t>FIJA</t>
  </si>
  <si>
    <t>AUTO</t>
  </si>
  <si>
    <t>DIVISOR</t>
  </si>
  <si>
    <r>
      <t>I</t>
    </r>
    <r>
      <rPr>
        <b/>
        <i/>
        <sz val="8"/>
        <color theme="1"/>
        <rFont val="Arial"/>
        <family val="2"/>
      </rPr>
      <t>DSS</t>
    </r>
  </si>
  <si>
    <r>
      <t>[</t>
    </r>
    <r>
      <rPr>
        <b/>
        <i/>
        <sz val="12"/>
        <color theme="1"/>
        <rFont val="Arial"/>
        <family val="2"/>
      </rPr>
      <t>A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</si>
  <si>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P</t>
    </r>
  </si>
  <si>
    <r>
      <t>[</t>
    </r>
    <r>
      <rPr>
        <b/>
        <i/>
        <sz val="12"/>
        <color theme="1"/>
        <rFont val="Arial"/>
        <family val="2"/>
      </rPr>
      <t>V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</si>
  <si>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GS</t>
    </r>
  </si>
  <si>
    <t>PUNTO Q</t>
  </si>
  <si>
    <r>
      <t>V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</si>
  <si>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</si>
  <si>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SS</t>
    </r>
  </si>
  <si>
    <r>
      <t>R</t>
    </r>
    <r>
      <rPr>
        <b/>
        <i/>
        <sz val="8"/>
        <color theme="1"/>
        <rFont val="Arial"/>
        <family val="2"/>
      </rPr>
      <t>1</t>
    </r>
  </si>
  <si>
    <r>
      <t>R</t>
    </r>
    <r>
      <rPr>
        <b/>
        <i/>
        <sz val="8"/>
        <color theme="1"/>
        <rFont val="Arial"/>
        <family val="2"/>
      </rPr>
      <t>2</t>
    </r>
  </si>
  <si>
    <t>V</t>
  </si>
  <si>
    <t>I</t>
  </si>
  <si>
    <t>Creador: @nobrayan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</si>
</sst>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i/>
      <sz val="12"/>
      <color theme="1"/>
      <name val="Arial"/>
      <family val="2"/>
    </font>
    <font>
      <b/>
      <i/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i/>
      <sz val="9"/>
      <color theme="0"/>
      <name val="Arial"/>
      <family val="2"/>
    </font>
    <font>
      <b/>
      <i/>
      <sz val="11"/>
      <color theme="0"/>
      <name val="Arial"/>
      <family val="2"/>
    </font>
    <font>
      <b/>
      <sz val="11"/>
      <name val="Arial"/>
      <family val="2"/>
    </font>
    <font>
      <b/>
      <i/>
      <sz val="12"/>
      <color theme="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1"/>
      <color theme="1"/>
      <name val="Arial"/>
      <family val="2"/>
    </font>
    <font>
      <b/>
      <i/>
      <sz val="10"/>
      <color theme="0"/>
      <name val="Arial"/>
      <family val="2"/>
    </font>
    <font>
      <sz val="11"/>
      <color theme="2"/>
      <name val="Calibri"/>
      <family val="2"/>
      <scheme val="minor"/>
    </font>
    <font>
      <b/>
      <i/>
      <sz val="14"/>
      <color theme="2"/>
      <name val="Arial"/>
      <family val="2"/>
    </font>
    <font>
      <b/>
      <i/>
      <sz val="12"/>
      <color theme="2"/>
      <name val="Arial"/>
      <family val="2"/>
    </font>
    <font>
      <b/>
      <i/>
      <sz val="16"/>
      <color theme="2"/>
      <name val="Arial"/>
      <family val="2"/>
    </font>
    <font>
      <b/>
      <i/>
      <sz val="10"/>
      <name val="Arial"/>
      <family val="2"/>
    </font>
    <font>
      <sz val="8"/>
      <color theme="2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DDDD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5" fillId="0" borderId="0" xfId="0" applyFont="1"/>
    <xf numFmtId="0" fontId="10" fillId="0" borderId="0" xfId="0" applyFont="1"/>
    <xf numFmtId="48" fontId="5" fillId="0" borderId="0" xfId="0" applyNumberFormat="1" applyFont="1"/>
    <xf numFmtId="48" fontId="10" fillId="0" borderId="0" xfId="0" applyNumberFormat="1" applyFont="1"/>
    <xf numFmtId="11" fontId="10" fillId="0" borderId="0" xfId="0" applyNumberFormat="1" applyFont="1"/>
    <xf numFmtId="48" fontId="10" fillId="0" borderId="7" xfId="0" applyNumberFormat="1" applyFont="1" applyBorder="1" applyAlignment="1">
      <alignment vertical="center"/>
    </xf>
    <xf numFmtId="48" fontId="5" fillId="0" borderId="4" xfId="0" applyNumberFormat="1" applyFont="1" applyBorder="1" applyAlignment="1">
      <alignment vertical="center"/>
    </xf>
    <xf numFmtId="48" fontId="5" fillId="0" borderId="0" xfId="0" applyNumberFormat="1" applyFont="1" applyAlignment="1">
      <alignment vertical="center"/>
    </xf>
    <xf numFmtId="0" fontId="5" fillId="0" borderId="5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48" fontId="10" fillId="0" borderId="0" xfId="0" applyNumberFormat="1" applyFont="1" applyAlignment="1">
      <alignment vertical="center"/>
    </xf>
    <xf numFmtId="48" fontId="10" fillId="0" borderId="5" xfId="0" applyNumberFormat="1" applyFont="1" applyBorder="1" applyAlignment="1">
      <alignment vertical="center"/>
    </xf>
    <xf numFmtId="48" fontId="10" fillId="0" borderId="4" xfId="0" applyNumberFormat="1" applyFont="1" applyBorder="1" applyAlignment="1">
      <alignment vertical="center"/>
    </xf>
    <xf numFmtId="48" fontId="5" fillId="0" borderId="7" xfId="0" applyNumberFormat="1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8" fontId="10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0" borderId="4" xfId="0" applyFont="1" applyBorder="1"/>
    <xf numFmtId="0" fontId="10" fillId="0" borderId="5" xfId="0" applyFont="1" applyBorder="1"/>
    <xf numFmtId="48" fontId="10" fillId="0" borderId="5" xfId="0" applyNumberFormat="1" applyFont="1" applyBorder="1"/>
    <xf numFmtId="0" fontId="10" fillId="0" borderId="6" xfId="0" applyFont="1" applyBorder="1"/>
    <xf numFmtId="0" fontId="5" fillId="0" borderId="7" xfId="0" applyFont="1" applyBorder="1"/>
    <xf numFmtId="48" fontId="5" fillId="0" borderId="7" xfId="0" applyNumberFormat="1" applyFont="1" applyBorder="1"/>
    <xf numFmtId="48" fontId="10" fillId="0" borderId="8" xfId="0" applyNumberFormat="1" applyFont="1" applyBorder="1"/>
    <xf numFmtId="0" fontId="5" fillId="7" borderId="1" xfId="0" applyFont="1" applyFill="1" applyBorder="1"/>
    <xf numFmtId="0" fontId="10" fillId="7" borderId="2" xfId="0" applyFont="1" applyFill="1" applyBorder="1"/>
    <xf numFmtId="0" fontId="10" fillId="7" borderId="3" xfId="0" applyFont="1" applyFill="1" applyBorder="1"/>
    <xf numFmtId="0" fontId="5" fillId="7" borderId="4" xfId="0" applyFont="1" applyFill="1" applyBorder="1"/>
    <xf numFmtId="0" fontId="10" fillId="7" borderId="0" xfId="0" applyFont="1" applyFill="1"/>
    <xf numFmtId="0" fontId="10" fillId="7" borderId="5" xfId="0" applyFont="1" applyFill="1" applyBorder="1"/>
    <xf numFmtId="0" fontId="5" fillId="7" borderId="0" xfId="0" applyFont="1" applyFill="1"/>
    <xf numFmtId="0" fontId="5" fillId="7" borderId="6" xfId="0" applyFont="1" applyFill="1" applyBorder="1"/>
    <xf numFmtId="0" fontId="10" fillId="7" borderId="7" xfId="0" applyFont="1" applyFill="1" applyBorder="1"/>
    <xf numFmtId="0" fontId="10" fillId="7" borderId="8" xfId="0" applyFont="1" applyFill="1" applyBorder="1"/>
    <xf numFmtId="0" fontId="10" fillId="8" borderId="1" xfId="0" applyFont="1" applyFill="1" applyBorder="1"/>
    <xf numFmtId="48" fontId="10" fillId="8" borderId="2" xfId="0" applyNumberFormat="1" applyFont="1" applyFill="1" applyBorder="1"/>
    <xf numFmtId="48" fontId="10" fillId="8" borderId="3" xfId="0" applyNumberFormat="1" applyFont="1" applyFill="1" applyBorder="1"/>
    <xf numFmtId="48" fontId="10" fillId="8" borderId="4" xfId="0" applyNumberFormat="1" applyFont="1" applyFill="1" applyBorder="1"/>
    <xf numFmtId="48" fontId="10" fillId="8" borderId="0" xfId="0" applyNumberFormat="1" applyFont="1" applyFill="1"/>
    <xf numFmtId="48" fontId="10" fillId="8" borderId="5" xfId="0" applyNumberFormat="1" applyFont="1" applyFill="1" applyBorder="1"/>
    <xf numFmtId="48" fontId="10" fillId="8" borderId="6" xfId="0" applyNumberFormat="1" applyFont="1" applyFill="1" applyBorder="1"/>
    <xf numFmtId="48" fontId="10" fillId="8" borderId="7" xfId="0" applyNumberFormat="1" applyFont="1" applyFill="1" applyBorder="1"/>
    <xf numFmtId="48" fontId="10" fillId="8" borderId="8" xfId="0" applyNumberFormat="1" applyFont="1" applyFill="1" applyBorder="1"/>
    <xf numFmtId="11" fontId="10" fillId="0" borderId="5" xfId="0" applyNumberFormat="1" applyFont="1" applyBorder="1"/>
    <xf numFmtId="11" fontId="10" fillId="0" borderId="8" xfId="0" applyNumberFormat="1" applyFont="1" applyBorder="1"/>
    <xf numFmtId="0" fontId="7" fillId="5" borderId="1" xfId="0" applyFont="1" applyFill="1" applyBorder="1"/>
    <xf numFmtId="48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48" fontId="7" fillId="5" borderId="2" xfId="0" applyNumberFormat="1" applyFont="1" applyFill="1" applyBorder="1"/>
    <xf numFmtId="0" fontId="7" fillId="5" borderId="3" xfId="0" applyFont="1" applyFill="1" applyBorder="1"/>
    <xf numFmtId="0" fontId="7" fillId="5" borderId="1" xfId="0" applyFont="1" applyFill="1" applyBorder="1" applyAlignment="1">
      <alignment horizontal="center" vertical="center"/>
    </xf>
    <xf numFmtId="11" fontId="7" fillId="5" borderId="3" xfId="0" applyNumberFormat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 wrapText="1"/>
    </xf>
    <xf numFmtId="0" fontId="13" fillId="15" borderId="17" xfId="0" applyFont="1" applyFill="1" applyBorder="1" applyAlignment="1">
      <alignment horizontal="center" vertical="center"/>
    </xf>
    <xf numFmtId="0" fontId="6" fillId="15" borderId="18" xfId="0" applyFont="1" applyFill="1" applyBorder="1" applyAlignment="1">
      <alignment horizontal="center" vertical="center" wrapText="1"/>
    </xf>
    <xf numFmtId="0" fontId="6" fillId="15" borderId="18" xfId="0" applyFont="1" applyFill="1" applyBorder="1" applyAlignment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48" fontId="4" fillId="4" borderId="12" xfId="0" applyNumberFormat="1" applyFont="1" applyFill="1" applyBorder="1" applyAlignment="1">
      <alignment horizontal="center" vertical="center"/>
    </xf>
    <xf numFmtId="48" fontId="4" fillId="4" borderId="13" xfId="0" applyNumberFormat="1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48" fontId="5" fillId="2" borderId="0" xfId="0" applyNumberFormat="1" applyFont="1" applyFill="1" applyAlignment="1">
      <alignment horizontal="center" vertical="center"/>
    </xf>
    <xf numFmtId="48" fontId="5" fillId="2" borderId="9" xfId="0" applyNumberFormat="1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7" fillId="12" borderId="15" xfId="0" applyFont="1" applyFill="1" applyBorder="1" applyAlignment="1">
      <alignment horizontal="center" vertical="center"/>
    </xf>
    <xf numFmtId="0" fontId="7" fillId="12" borderId="14" xfId="0" applyFont="1" applyFill="1" applyBorder="1" applyAlignment="1">
      <alignment horizontal="center" vertical="center"/>
    </xf>
    <xf numFmtId="0" fontId="7" fillId="12" borderId="16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11" fontId="11" fillId="11" borderId="1" xfId="0" applyNumberFormat="1" applyFont="1" applyFill="1" applyBorder="1" applyAlignment="1">
      <alignment horizontal="center" vertical="center"/>
    </xf>
    <xf numFmtId="11" fontId="11" fillId="11" borderId="2" xfId="0" applyNumberFormat="1" applyFont="1" applyFill="1" applyBorder="1" applyAlignment="1">
      <alignment horizontal="center" vertical="center"/>
    </xf>
    <xf numFmtId="11" fontId="11" fillId="11" borderId="3" xfId="0" applyNumberFormat="1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9" fillId="13" borderId="15" xfId="0" applyFont="1" applyFill="1" applyBorder="1" applyAlignment="1">
      <alignment horizontal="center" vertical="center"/>
    </xf>
    <xf numFmtId="0" fontId="9" fillId="13" borderId="14" xfId="0" applyFont="1" applyFill="1" applyBorder="1" applyAlignment="1">
      <alignment horizontal="center" vertical="center"/>
    </xf>
    <xf numFmtId="0" fontId="9" fillId="13" borderId="16" xfId="0" applyFont="1" applyFill="1" applyBorder="1" applyAlignment="1">
      <alignment horizontal="center" vertical="center"/>
    </xf>
    <xf numFmtId="48" fontId="5" fillId="3" borderId="0" xfId="0" applyNumberFormat="1" applyFont="1" applyFill="1" applyAlignment="1">
      <alignment horizontal="center" vertical="center"/>
    </xf>
    <xf numFmtId="48" fontId="5" fillId="3" borderId="9" xfId="0" applyNumberFormat="1" applyFont="1" applyFill="1" applyBorder="1" applyAlignment="1">
      <alignment horizontal="center" vertical="center"/>
    </xf>
    <xf numFmtId="0" fontId="14" fillId="0" borderId="0" xfId="0" applyFont="1" applyFill="1"/>
    <xf numFmtId="0" fontId="15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0" fontId="16" fillId="0" borderId="0" xfId="0" applyFont="1" applyFill="1" applyAlignment="1">
      <alignment vertical="center"/>
    </xf>
    <xf numFmtId="0" fontId="0" fillId="0" borderId="0" xfId="0" applyFill="1"/>
    <xf numFmtId="0" fontId="14" fillId="0" borderId="0" xfId="0" applyFont="1" applyFill="1" applyAlignment="1">
      <alignment vertical="center"/>
    </xf>
    <xf numFmtId="0" fontId="5" fillId="0" borderId="0" xfId="0" applyFont="1" applyFill="1" applyAlignment="1">
      <alignment horizontal="center" vertical="center"/>
    </xf>
    <xf numFmtId="0" fontId="0" fillId="0" borderId="9" xfId="0" applyFill="1" applyBorder="1"/>
    <xf numFmtId="0" fontId="0" fillId="0" borderId="14" xfId="0" applyFill="1" applyBorder="1" applyAlignment="1">
      <alignment horizontal="center" vertical="center"/>
    </xf>
    <xf numFmtId="0" fontId="19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DDDD"/>
      <color rgb="FFFFAFA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defRPr>
            </a:pPr>
            <a:r>
              <a:rPr lang="en-US" sz="800" b="1"/>
              <a:t>ECUACION DE SHOCKLEY</a:t>
            </a:r>
          </a:p>
        </c:rich>
      </c:tx>
      <c:layout>
        <c:manualLayout>
          <c:xMode val="edge"/>
          <c:yMode val="edge"/>
          <c:x val="0.31493047062196378"/>
          <c:y val="1.2042067411630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044573178279255E-2"/>
          <c:y val="0.15894313210848646"/>
          <c:w val="0.75545701067072768"/>
          <c:h val="0.68814231554389038"/>
        </c:manualLayout>
      </c:layout>
      <c:scatterChart>
        <c:scatterStyle val="lineMarker"/>
        <c:varyColors val="0"/>
        <c:ser>
          <c:idx val="0"/>
          <c:order val="0"/>
          <c:tx>
            <c:v>GRAFICA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Hoja1!$B$16:$B$19</c:f>
              <c:numCache>
                <c:formatCode>General</c:formatCode>
                <c:ptCount val="4"/>
                <c:pt idx="0">
                  <c:v>0</c:v>
                </c:pt>
                <c:pt idx="1">
                  <c:v>-1.7999999999999998</c:v>
                </c:pt>
                <c:pt idx="2">
                  <c:v>-3</c:v>
                </c:pt>
                <c:pt idx="3">
                  <c:v>-6</c:v>
                </c:pt>
              </c:numCache>
            </c:numRef>
          </c:xVal>
          <c:yVal>
            <c:numRef>
              <c:f>Hoja1!$D$16:$D$19</c:f>
              <c:numCache>
                <c:formatCode>##0.0E+0</c:formatCode>
                <c:ptCount val="4"/>
                <c:pt idx="0">
                  <c:v>0.01</c:v>
                </c:pt>
                <c:pt idx="1">
                  <c:v>5.0000000000000001E-3</c:v>
                </c:pt>
                <c:pt idx="2">
                  <c:v>2.5000000000000001E-3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3-47BE-BBAE-26F831F24FD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49127392"/>
        <c:axId val="1491311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LINEA Q</c:v>
                </c:tx>
                <c:spPr>
                  <a:ln w="19050" cap="rnd" cmpd="dbl">
                    <a:solidFill>
                      <a:schemeClr val="accent2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dPt>
                  <c:idx val="0"/>
                  <c:marker>
                    <c:symbol val="none"/>
                  </c:marker>
                  <c:bubble3D val="0"/>
                  <c:spPr>
                    <a:ln w="19050" cap="rnd" cmpd="dbl">
                      <a:solidFill>
                        <a:schemeClr val="accent2"/>
                      </a:solidFill>
                      <a:prstDash val="sysDot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A-C533-47BE-BBAE-26F831F24FD3}"/>
                    </c:ext>
                  </c:extLst>
                </c:dPt>
                <c:dLbls>
                  <c:delete val="1"/>
                </c:dLbls>
                <c:xVal>
                  <c:strRef>
                    <c:extLst>
                      <c:ext uri="{02D57815-91ED-43cb-92C2-25804820EDAC}">
                        <c15:formulaRef>
                          <c15:sqref>(Hoja1!$AL$1,Hoja1!$AJ$2,Hoja1!$AJ$2)</c15:sqref>
                        </c15:formulaRef>
                      </c:ext>
                    </c:extLst>
                    <c:strCache>
                      <c:ptCount val="3"/>
                      <c:pt idx="1">
                        <c:v>FIJA</c:v>
                      </c:pt>
                      <c:pt idx="2">
                        <c:v>FIJA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(Hoja1!$AK$2,Hoja1!$AK$2,Hoja1!$AL$1)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C533-47BE-BBAE-26F831F24FD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v>PUNTO Q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10"/>
                  <c:spPr>
                    <a:solidFill>
                      <a:schemeClr val="accent2"/>
                    </a:solidFill>
                    <a:ln w="19050">
                      <a:solidFill>
                        <a:schemeClr val="accent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dLbl>
                    <c:idx val="0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separator>
</c:separator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06-C6E2-4F7B-8AB6-9D581CB8DE44}"/>
                      </c:ext>
                    </c:extLst>
                  </c:dLbl>
                  <c:spPr>
                    <a:solidFill>
                      <a:schemeClr val="accent2"/>
                    </a:solidFill>
                    <a:ln w="15875" cap="rnd">
                      <a:solidFill>
                        <a:schemeClr val="accent2">
                          <a:lumMod val="75000"/>
                        </a:schemeClr>
                      </a:solidFill>
                      <a:prstDash val="solid"/>
                      <a:round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600" b="1" i="0" u="none" strike="noStrike" kern="1200" baseline="0">
                          <a:solidFill>
                            <a:schemeClr val="bg1"/>
                          </a:solidFill>
                          <a:latin typeface="Arial" panose="020B0604020202020204" pitchFamily="34" charset="0"/>
                          <a:ea typeface="Cambria" panose="02040503050406030204" pitchFamily="18" charset="0"/>
                          <a:cs typeface="Arial" panose="020B0604020202020204" pitchFamily="34" charset="0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Hoja1!$AJ$2</c15:sqref>
                        </c15:formulaRef>
                      </c:ext>
                    </c:extLst>
                    <c:strCache>
                      <c:ptCount val="1"/>
                      <c:pt idx="0">
                        <c:v>FIJA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Hoja1!$AK$2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E62-4868-813D-454A106DAF3B}"/>
                  </c:ext>
                </c:extLst>
              </c15:ser>
            </c15:filteredScatterSeries>
          </c:ext>
        </c:extLst>
      </c:scatterChart>
      <c:valAx>
        <c:axId val="14912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b="1" i="1"/>
                  <a:t>VGS</a:t>
                </a:r>
              </a:p>
            </c:rich>
          </c:tx>
          <c:layout>
            <c:manualLayout>
              <c:xMode val="edge"/>
              <c:yMode val="edge"/>
              <c:x val="0.46869008072088558"/>
              <c:y val="0.91672566380091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31136"/>
        <c:crossesAt val="0"/>
        <c:crossBetween val="midCat"/>
      </c:valAx>
      <c:valAx>
        <c:axId val="149131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b="1" i="1"/>
                  <a:t>ID</a:t>
                </a:r>
              </a:p>
            </c:rich>
          </c:tx>
          <c:layout>
            <c:manualLayout>
              <c:xMode val="edge"/>
              <c:yMode val="edge"/>
              <c:x val="1.3641379595650703E-2"/>
              <c:y val="0.433522689542922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273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 sz="700">
          <a:latin typeface="Arial" panose="020B0604020202020204" pitchFamily="34" charset="0"/>
          <a:ea typeface="Cambria" panose="02040503050406030204" pitchFamily="18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 i="1"/>
              <a:t>GRÁFICA JFET |</a:t>
            </a:r>
            <a:r>
              <a:rPr lang="en-US" b="1" i="1" baseline="0"/>
              <a:t> </a:t>
            </a:r>
            <a:r>
              <a:rPr lang="en-US" sz="1000" b="1" i="1" baseline="0"/>
              <a:t>Beta v7</a:t>
            </a:r>
            <a:endParaRPr lang="en-US" b="1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527857761425743E-2"/>
          <c:y val="7.1042771484170444E-2"/>
          <c:w val="0.84634716336354088"/>
          <c:h val="0.81168471203324222"/>
        </c:manualLayout>
      </c:layout>
      <c:scatterChart>
        <c:scatterStyle val="lineMarker"/>
        <c:varyColors val="0"/>
        <c:ser>
          <c:idx val="0"/>
          <c:order val="0"/>
          <c:tx>
            <c:v>GRAFICA</c:v>
          </c:tx>
          <c:spPr>
            <a:ln w="317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1587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Hoja1!$AF$1:$AF$500</c:f>
              <c:numCache>
                <c:formatCode>##0.0E+0</c:formatCode>
                <c:ptCount val="500"/>
                <c:pt idx="0" formatCode="General">
                  <c:v>0</c:v>
                </c:pt>
                <c:pt idx="1">
                  <c:v>-0.31578947368421051</c:v>
                </c:pt>
                <c:pt idx="2">
                  <c:v>-0.63157894736842102</c:v>
                </c:pt>
                <c:pt idx="3">
                  <c:v>-0.94736842105263153</c:v>
                </c:pt>
                <c:pt idx="4">
                  <c:v>-1.263157894736842</c:v>
                </c:pt>
                <c:pt idx="5">
                  <c:v>-1.5789473684210527</c:v>
                </c:pt>
                <c:pt idx="6">
                  <c:v>-1.8947368421052633</c:v>
                </c:pt>
                <c:pt idx="7">
                  <c:v>-2.2105263157894739</c:v>
                </c:pt>
                <c:pt idx="8">
                  <c:v>-2.5263157894736845</c:v>
                </c:pt>
                <c:pt idx="9">
                  <c:v>-2.8421052631578951</c:v>
                </c:pt>
                <c:pt idx="10">
                  <c:v>-3.1578947368421058</c:v>
                </c:pt>
                <c:pt idx="11">
                  <c:v>-3.4736842105263164</c:v>
                </c:pt>
                <c:pt idx="12">
                  <c:v>-3.789473684210527</c:v>
                </c:pt>
                <c:pt idx="13">
                  <c:v>-4.1052631578947372</c:v>
                </c:pt>
                <c:pt idx="14">
                  <c:v>-4.4210526315789478</c:v>
                </c:pt>
                <c:pt idx="15">
                  <c:v>-4.7368421052631584</c:v>
                </c:pt>
                <c:pt idx="16">
                  <c:v>-5.052631578947369</c:v>
                </c:pt>
                <c:pt idx="17">
                  <c:v>-5.3684210526315796</c:v>
                </c:pt>
                <c:pt idx="18">
                  <c:v>-5.6842105263157903</c:v>
                </c:pt>
                <c:pt idx="19">
                  <c:v>-6.0000000000000009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  <c:pt idx="288">
                  <c:v>-6</c:v>
                </c:pt>
                <c:pt idx="289">
                  <c:v>-6</c:v>
                </c:pt>
                <c:pt idx="290">
                  <c:v>-6</c:v>
                </c:pt>
                <c:pt idx="291">
                  <c:v>-6</c:v>
                </c:pt>
                <c:pt idx="292">
                  <c:v>-6</c:v>
                </c:pt>
                <c:pt idx="293">
                  <c:v>-6</c:v>
                </c:pt>
                <c:pt idx="294">
                  <c:v>-6</c:v>
                </c:pt>
                <c:pt idx="295">
                  <c:v>-6</c:v>
                </c:pt>
                <c:pt idx="296">
                  <c:v>-6</c:v>
                </c:pt>
                <c:pt idx="297">
                  <c:v>-6</c:v>
                </c:pt>
                <c:pt idx="298">
                  <c:v>-6</c:v>
                </c:pt>
                <c:pt idx="299">
                  <c:v>-6</c:v>
                </c:pt>
                <c:pt idx="300">
                  <c:v>-6</c:v>
                </c:pt>
                <c:pt idx="301">
                  <c:v>-6</c:v>
                </c:pt>
                <c:pt idx="302">
                  <c:v>-6</c:v>
                </c:pt>
                <c:pt idx="303">
                  <c:v>-6</c:v>
                </c:pt>
                <c:pt idx="304">
                  <c:v>-6</c:v>
                </c:pt>
                <c:pt idx="305">
                  <c:v>-6</c:v>
                </c:pt>
                <c:pt idx="306">
                  <c:v>-6</c:v>
                </c:pt>
                <c:pt idx="307">
                  <c:v>-6</c:v>
                </c:pt>
                <c:pt idx="308">
                  <c:v>-6</c:v>
                </c:pt>
                <c:pt idx="309">
                  <c:v>-6</c:v>
                </c:pt>
                <c:pt idx="310">
                  <c:v>-6</c:v>
                </c:pt>
                <c:pt idx="311">
                  <c:v>-6</c:v>
                </c:pt>
                <c:pt idx="312">
                  <c:v>-6</c:v>
                </c:pt>
                <c:pt idx="313">
                  <c:v>-6</c:v>
                </c:pt>
                <c:pt idx="314">
                  <c:v>-6</c:v>
                </c:pt>
                <c:pt idx="315">
                  <c:v>-6</c:v>
                </c:pt>
                <c:pt idx="316">
                  <c:v>-6</c:v>
                </c:pt>
                <c:pt idx="317">
                  <c:v>-6</c:v>
                </c:pt>
                <c:pt idx="318">
                  <c:v>-6</c:v>
                </c:pt>
                <c:pt idx="319">
                  <c:v>-6</c:v>
                </c:pt>
                <c:pt idx="320">
                  <c:v>-6</c:v>
                </c:pt>
                <c:pt idx="321">
                  <c:v>-6</c:v>
                </c:pt>
                <c:pt idx="322">
                  <c:v>-6</c:v>
                </c:pt>
                <c:pt idx="323">
                  <c:v>-6</c:v>
                </c:pt>
                <c:pt idx="324">
                  <c:v>-6</c:v>
                </c:pt>
                <c:pt idx="325">
                  <c:v>-6</c:v>
                </c:pt>
                <c:pt idx="326">
                  <c:v>-6</c:v>
                </c:pt>
                <c:pt idx="327">
                  <c:v>-6</c:v>
                </c:pt>
                <c:pt idx="328">
                  <c:v>-6</c:v>
                </c:pt>
                <c:pt idx="329">
                  <c:v>-6</c:v>
                </c:pt>
                <c:pt idx="330">
                  <c:v>-6</c:v>
                </c:pt>
                <c:pt idx="331">
                  <c:v>-6</c:v>
                </c:pt>
                <c:pt idx="332">
                  <c:v>-6</c:v>
                </c:pt>
                <c:pt idx="333">
                  <c:v>-6</c:v>
                </c:pt>
                <c:pt idx="334">
                  <c:v>-6</c:v>
                </c:pt>
                <c:pt idx="335">
                  <c:v>-6</c:v>
                </c:pt>
                <c:pt idx="336">
                  <c:v>-6</c:v>
                </c:pt>
                <c:pt idx="337">
                  <c:v>-6</c:v>
                </c:pt>
                <c:pt idx="338">
                  <c:v>-6</c:v>
                </c:pt>
                <c:pt idx="339">
                  <c:v>-6</c:v>
                </c:pt>
                <c:pt idx="340">
                  <c:v>-6</c:v>
                </c:pt>
                <c:pt idx="341">
                  <c:v>-6</c:v>
                </c:pt>
                <c:pt idx="342">
                  <c:v>-6</c:v>
                </c:pt>
                <c:pt idx="343">
                  <c:v>-6</c:v>
                </c:pt>
                <c:pt idx="344">
                  <c:v>-6</c:v>
                </c:pt>
                <c:pt idx="345">
                  <c:v>-6</c:v>
                </c:pt>
                <c:pt idx="346">
                  <c:v>-6</c:v>
                </c:pt>
                <c:pt idx="347">
                  <c:v>-6</c:v>
                </c:pt>
                <c:pt idx="348">
                  <c:v>-6</c:v>
                </c:pt>
                <c:pt idx="349">
                  <c:v>-6</c:v>
                </c:pt>
                <c:pt idx="350">
                  <c:v>-6</c:v>
                </c:pt>
                <c:pt idx="351">
                  <c:v>-6</c:v>
                </c:pt>
                <c:pt idx="352">
                  <c:v>-6</c:v>
                </c:pt>
                <c:pt idx="353">
                  <c:v>-6</c:v>
                </c:pt>
                <c:pt idx="354">
                  <c:v>-6</c:v>
                </c:pt>
                <c:pt idx="355">
                  <c:v>-6</c:v>
                </c:pt>
                <c:pt idx="356">
                  <c:v>-6</c:v>
                </c:pt>
                <c:pt idx="357">
                  <c:v>-6</c:v>
                </c:pt>
                <c:pt idx="358">
                  <c:v>-6</c:v>
                </c:pt>
                <c:pt idx="359">
                  <c:v>-6</c:v>
                </c:pt>
                <c:pt idx="360">
                  <c:v>-6</c:v>
                </c:pt>
                <c:pt idx="361">
                  <c:v>-6</c:v>
                </c:pt>
                <c:pt idx="362">
                  <c:v>-6</c:v>
                </c:pt>
                <c:pt idx="363">
                  <c:v>-6</c:v>
                </c:pt>
                <c:pt idx="364">
                  <c:v>-6</c:v>
                </c:pt>
                <c:pt idx="365">
                  <c:v>-6</c:v>
                </c:pt>
                <c:pt idx="366">
                  <c:v>-6</c:v>
                </c:pt>
                <c:pt idx="367">
                  <c:v>-6</c:v>
                </c:pt>
                <c:pt idx="368">
                  <c:v>-6</c:v>
                </c:pt>
                <c:pt idx="369">
                  <c:v>-6</c:v>
                </c:pt>
                <c:pt idx="370">
                  <c:v>-6</c:v>
                </c:pt>
                <c:pt idx="371">
                  <c:v>-6</c:v>
                </c:pt>
                <c:pt idx="372">
                  <c:v>-6</c:v>
                </c:pt>
                <c:pt idx="373">
                  <c:v>-6</c:v>
                </c:pt>
                <c:pt idx="374">
                  <c:v>-6</c:v>
                </c:pt>
                <c:pt idx="375">
                  <c:v>-6</c:v>
                </c:pt>
                <c:pt idx="376">
                  <c:v>-6</c:v>
                </c:pt>
                <c:pt idx="377">
                  <c:v>-6</c:v>
                </c:pt>
                <c:pt idx="378">
                  <c:v>-6</c:v>
                </c:pt>
                <c:pt idx="379">
                  <c:v>-6</c:v>
                </c:pt>
                <c:pt idx="380">
                  <c:v>-6</c:v>
                </c:pt>
                <c:pt idx="381">
                  <c:v>-6</c:v>
                </c:pt>
                <c:pt idx="382">
                  <c:v>-6</c:v>
                </c:pt>
                <c:pt idx="383">
                  <c:v>-6</c:v>
                </c:pt>
                <c:pt idx="384">
                  <c:v>-6</c:v>
                </c:pt>
                <c:pt idx="385">
                  <c:v>-6</c:v>
                </c:pt>
                <c:pt idx="386">
                  <c:v>-6</c:v>
                </c:pt>
                <c:pt idx="387">
                  <c:v>-6</c:v>
                </c:pt>
                <c:pt idx="388">
                  <c:v>-6</c:v>
                </c:pt>
                <c:pt idx="389">
                  <c:v>-6</c:v>
                </c:pt>
                <c:pt idx="390">
                  <c:v>-6</c:v>
                </c:pt>
                <c:pt idx="391">
                  <c:v>-6</c:v>
                </c:pt>
                <c:pt idx="392">
                  <c:v>-6</c:v>
                </c:pt>
                <c:pt idx="393">
                  <c:v>-6</c:v>
                </c:pt>
                <c:pt idx="394">
                  <c:v>-6</c:v>
                </c:pt>
                <c:pt idx="395">
                  <c:v>-6</c:v>
                </c:pt>
                <c:pt idx="396">
                  <c:v>-6</c:v>
                </c:pt>
                <c:pt idx="397">
                  <c:v>-6</c:v>
                </c:pt>
                <c:pt idx="398">
                  <c:v>-6</c:v>
                </c:pt>
                <c:pt idx="399">
                  <c:v>-6</c:v>
                </c:pt>
                <c:pt idx="400">
                  <c:v>-6</c:v>
                </c:pt>
                <c:pt idx="401">
                  <c:v>-6</c:v>
                </c:pt>
                <c:pt idx="402">
                  <c:v>-6</c:v>
                </c:pt>
                <c:pt idx="403">
                  <c:v>-6</c:v>
                </c:pt>
                <c:pt idx="404">
                  <c:v>-6</c:v>
                </c:pt>
                <c:pt idx="405">
                  <c:v>-6</c:v>
                </c:pt>
                <c:pt idx="406">
                  <c:v>-6</c:v>
                </c:pt>
                <c:pt idx="407">
                  <c:v>-6</c:v>
                </c:pt>
                <c:pt idx="408">
                  <c:v>-6</c:v>
                </c:pt>
                <c:pt idx="409">
                  <c:v>-6</c:v>
                </c:pt>
                <c:pt idx="410">
                  <c:v>-6</c:v>
                </c:pt>
                <c:pt idx="411">
                  <c:v>-6</c:v>
                </c:pt>
                <c:pt idx="412">
                  <c:v>-6</c:v>
                </c:pt>
                <c:pt idx="413">
                  <c:v>-6</c:v>
                </c:pt>
                <c:pt idx="414">
                  <c:v>-6</c:v>
                </c:pt>
                <c:pt idx="415">
                  <c:v>-6</c:v>
                </c:pt>
                <c:pt idx="416">
                  <c:v>-6</c:v>
                </c:pt>
                <c:pt idx="417">
                  <c:v>-6</c:v>
                </c:pt>
                <c:pt idx="418">
                  <c:v>-6</c:v>
                </c:pt>
                <c:pt idx="419">
                  <c:v>-6</c:v>
                </c:pt>
                <c:pt idx="420">
                  <c:v>-6</c:v>
                </c:pt>
                <c:pt idx="421">
                  <c:v>-6</c:v>
                </c:pt>
                <c:pt idx="422">
                  <c:v>-6</c:v>
                </c:pt>
                <c:pt idx="423">
                  <c:v>-6</c:v>
                </c:pt>
                <c:pt idx="424">
                  <c:v>-6</c:v>
                </c:pt>
                <c:pt idx="425">
                  <c:v>-6</c:v>
                </c:pt>
                <c:pt idx="426">
                  <c:v>-6</c:v>
                </c:pt>
                <c:pt idx="427">
                  <c:v>-6</c:v>
                </c:pt>
                <c:pt idx="428">
                  <c:v>-6</c:v>
                </c:pt>
                <c:pt idx="429">
                  <c:v>-6</c:v>
                </c:pt>
                <c:pt idx="430">
                  <c:v>-6</c:v>
                </c:pt>
                <c:pt idx="431">
                  <c:v>-6</c:v>
                </c:pt>
                <c:pt idx="432">
                  <c:v>-6</c:v>
                </c:pt>
                <c:pt idx="433">
                  <c:v>-6</c:v>
                </c:pt>
                <c:pt idx="434">
                  <c:v>-6</c:v>
                </c:pt>
                <c:pt idx="435">
                  <c:v>-6</c:v>
                </c:pt>
                <c:pt idx="436">
                  <c:v>-6</c:v>
                </c:pt>
                <c:pt idx="437">
                  <c:v>-6</c:v>
                </c:pt>
                <c:pt idx="438">
                  <c:v>-6</c:v>
                </c:pt>
                <c:pt idx="439">
                  <c:v>-6</c:v>
                </c:pt>
                <c:pt idx="440">
                  <c:v>-6</c:v>
                </c:pt>
                <c:pt idx="441">
                  <c:v>-6</c:v>
                </c:pt>
                <c:pt idx="442">
                  <c:v>-6</c:v>
                </c:pt>
                <c:pt idx="443">
                  <c:v>-6</c:v>
                </c:pt>
                <c:pt idx="444">
                  <c:v>-6</c:v>
                </c:pt>
                <c:pt idx="445">
                  <c:v>-6</c:v>
                </c:pt>
                <c:pt idx="446">
                  <c:v>-6</c:v>
                </c:pt>
                <c:pt idx="447">
                  <c:v>-6</c:v>
                </c:pt>
                <c:pt idx="448">
                  <c:v>-6</c:v>
                </c:pt>
                <c:pt idx="449">
                  <c:v>-6</c:v>
                </c:pt>
                <c:pt idx="450">
                  <c:v>-6</c:v>
                </c:pt>
                <c:pt idx="451">
                  <c:v>-6</c:v>
                </c:pt>
                <c:pt idx="452">
                  <c:v>-6</c:v>
                </c:pt>
                <c:pt idx="453">
                  <c:v>-6</c:v>
                </c:pt>
                <c:pt idx="454">
                  <c:v>-6</c:v>
                </c:pt>
                <c:pt idx="455">
                  <c:v>-6</c:v>
                </c:pt>
                <c:pt idx="456">
                  <c:v>-6</c:v>
                </c:pt>
                <c:pt idx="457">
                  <c:v>-6</c:v>
                </c:pt>
                <c:pt idx="458">
                  <c:v>-6</c:v>
                </c:pt>
                <c:pt idx="459">
                  <c:v>-6</c:v>
                </c:pt>
                <c:pt idx="460">
                  <c:v>-6</c:v>
                </c:pt>
                <c:pt idx="461">
                  <c:v>-6</c:v>
                </c:pt>
                <c:pt idx="462">
                  <c:v>-6</c:v>
                </c:pt>
                <c:pt idx="463">
                  <c:v>-6</c:v>
                </c:pt>
                <c:pt idx="464">
                  <c:v>-6</c:v>
                </c:pt>
                <c:pt idx="465">
                  <c:v>-6</c:v>
                </c:pt>
                <c:pt idx="466">
                  <c:v>-6</c:v>
                </c:pt>
                <c:pt idx="467">
                  <c:v>-6</c:v>
                </c:pt>
                <c:pt idx="468">
                  <c:v>-6</c:v>
                </c:pt>
                <c:pt idx="469">
                  <c:v>-6</c:v>
                </c:pt>
                <c:pt idx="470">
                  <c:v>-6</c:v>
                </c:pt>
                <c:pt idx="471">
                  <c:v>-6</c:v>
                </c:pt>
                <c:pt idx="472">
                  <c:v>-6</c:v>
                </c:pt>
                <c:pt idx="473">
                  <c:v>-6</c:v>
                </c:pt>
                <c:pt idx="474">
                  <c:v>-6</c:v>
                </c:pt>
                <c:pt idx="475">
                  <c:v>-6</c:v>
                </c:pt>
                <c:pt idx="476">
                  <c:v>-6</c:v>
                </c:pt>
                <c:pt idx="477">
                  <c:v>-6</c:v>
                </c:pt>
                <c:pt idx="478">
                  <c:v>-6</c:v>
                </c:pt>
                <c:pt idx="479">
                  <c:v>-6</c:v>
                </c:pt>
                <c:pt idx="480">
                  <c:v>-6</c:v>
                </c:pt>
                <c:pt idx="481">
                  <c:v>-6</c:v>
                </c:pt>
                <c:pt idx="482">
                  <c:v>-6</c:v>
                </c:pt>
                <c:pt idx="483">
                  <c:v>-6</c:v>
                </c:pt>
                <c:pt idx="484">
                  <c:v>-6</c:v>
                </c:pt>
                <c:pt idx="485">
                  <c:v>-6</c:v>
                </c:pt>
                <c:pt idx="486">
                  <c:v>-6</c:v>
                </c:pt>
                <c:pt idx="487">
                  <c:v>-6</c:v>
                </c:pt>
                <c:pt idx="488">
                  <c:v>-6</c:v>
                </c:pt>
                <c:pt idx="489">
                  <c:v>-6</c:v>
                </c:pt>
                <c:pt idx="490">
                  <c:v>-6</c:v>
                </c:pt>
                <c:pt idx="491">
                  <c:v>-6</c:v>
                </c:pt>
                <c:pt idx="492">
                  <c:v>-6</c:v>
                </c:pt>
                <c:pt idx="493">
                  <c:v>-6</c:v>
                </c:pt>
                <c:pt idx="494">
                  <c:v>-6</c:v>
                </c:pt>
                <c:pt idx="495">
                  <c:v>-6</c:v>
                </c:pt>
                <c:pt idx="496">
                  <c:v>-6</c:v>
                </c:pt>
                <c:pt idx="497">
                  <c:v>-6</c:v>
                </c:pt>
                <c:pt idx="498">
                  <c:v>-6</c:v>
                </c:pt>
                <c:pt idx="499">
                  <c:v>-6</c:v>
                </c:pt>
              </c:numCache>
            </c:numRef>
          </c:xVal>
          <c:yVal>
            <c:numRef>
              <c:f>Hoja1!$AG$1:$AG$500</c:f>
              <c:numCache>
                <c:formatCode>##0.0E+0</c:formatCode>
                <c:ptCount val="500"/>
                <c:pt idx="0">
                  <c:v>0.01</c:v>
                </c:pt>
                <c:pt idx="1">
                  <c:v>8.9750692520775641E-3</c:v>
                </c:pt>
                <c:pt idx="2">
                  <c:v>8.0055401662049858E-3</c:v>
                </c:pt>
                <c:pt idx="3">
                  <c:v>7.0914127423822703E-3</c:v>
                </c:pt>
                <c:pt idx="4">
                  <c:v>6.2326869806094186E-3</c:v>
                </c:pt>
                <c:pt idx="5">
                  <c:v>5.4293628808864281E-3</c:v>
                </c:pt>
                <c:pt idx="6">
                  <c:v>4.6814404432132953E-3</c:v>
                </c:pt>
                <c:pt idx="7">
                  <c:v>3.9889196675900272E-3</c:v>
                </c:pt>
                <c:pt idx="8">
                  <c:v>3.3518005540166206E-3</c:v>
                </c:pt>
                <c:pt idx="9">
                  <c:v>2.7700831024930735E-3</c:v>
                </c:pt>
                <c:pt idx="10">
                  <c:v>2.2437673130193897E-3</c:v>
                </c:pt>
                <c:pt idx="11">
                  <c:v>1.7728531855955667E-3</c:v>
                </c:pt>
                <c:pt idx="12">
                  <c:v>1.3573407202216062E-3</c:v>
                </c:pt>
                <c:pt idx="13">
                  <c:v>9.9722991689750679E-4</c:v>
                </c:pt>
                <c:pt idx="14">
                  <c:v>6.9252077562326837E-4</c:v>
                </c:pt>
                <c:pt idx="15">
                  <c:v>4.4321329639889151E-4</c:v>
                </c:pt>
                <c:pt idx="16">
                  <c:v>2.4930747922437653E-4</c:v>
                </c:pt>
                <c:pt idx="17">
                  <c:v>1.1080332409972276E-4</c:v>
                </c:pt>
                <c:pt idx="18">
                  <c:v>2.7700831024930571E-5</c:v>
                </c:pt>
                <c:pt idx="19">
                  <c:v>4.9303806576313239E-34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2F-405E-9527-347E111F0ECA}"/>
            </c:ext>
          </c:extLst>
        </c:ser>
        <c:ser>
          <c:idx val="5"/>
          <c:order val="1"/>
          <c:tx>
            <c:v>LPP</c:v>
          </c:tx>
          <c:spPr>
            <a:ln w="1905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rgbClr val="7030A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51-49A0-96BB-4D7616B55AF3}"/>
              </c:ext>
            </c:extLst>
          </c:dPt>
          <c:dLbls>
            <c:delete val="1"/>
          </c:dLbls>
          <c:xVal>
            <c:numRef>
              <c:f>(Hoja1!$AL$9,Hoja1!$AL$9,Hoja1!$AQ$9)</c:f>
              <c:numCache>
                <c:formatCode>General</c:formatCode>
                <c:ptCount val="3"/>
                <c:pt idx="0">
                  <c:v>-1</c:v>
                </c:pt>
                <c:pt idx="1">
                  <c:v>-1</c:v>
                </c:pt>
                <c:pt idx="2">
                  <c:v>5</c:v>
                </c:pt>
              </c:numCache>
            </c:numRef>
          </c:xVal>
          <c:yVal>
            <c:numRef>
              <c:f>(Hoja1!$AF$1,Hoja1!$AM$9,Hoja1!$AM$9)</c:f>
              <c:numCache>
                <c:formatCode>##0.0E+0</c:formatCode>
                <c:ptCount val="3"/>
                <c:pt idx="0" formatCode="General">
                  <c:v>0</c:v>
                </c:pt>
                <c:pt idx="1">
                  <c:v>6.9444444444444458E-3</c:v>
                </c:pt>
                <c:pt idx="2">
                  <c:v>6.9444444444444458E-3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A-4E19-BF65-4018E82E39EF}"/>
            </c:ext>
          </c:extLst>
        </c:ser>
        <c:ser>
          <c:idx val="6"/>
          <c:order val="2"/>
          <c:tx>
            <c:v>LPP2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(Hoja1!$AQ$9,Hoja1!$AQ$10)</c:f>
              <c:numCache>
                <c:formatCode>General</c:formatCode>
                <c:ptCount val="2"/>
                <c:pt idx="0">
                  <c:v>5</c:v>
                </c:pt>
                <c:pt idx="1">
                  <c:v>10</c:v>
                </c:pt>
              </c:numCache>
            </c:numRef>
          </c:xVal>
          <c:yVal>
            <c:numRef>
              <c:f>(Hoja1!$AM$9,Hoja1!$AM$9)</c:f>
              <c:numCache>
                <c:formatCode>##0.0E+0</c:formatCode>
                <c:ptCount val="2"/>
                <c:pt idx="0">
                  <c:v>6.9444444444444458E-3</c:v>
                </c:pt>
                <c:pt idx="1">
                  <c:v>6.9444444444444458E-3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A-4E19-BF65-4018E82E39EF}"/>
            </c:ext>
          </c:extLst>
        </c:ser>
        <c:ser>
          <c:idx val="7"/>
          <c:order val="3"/>
          <c:tx>
            <c:v>LPP3</c:v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(Hoja1!$AQ$9,Hoja1!$AQ$9)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(Hoja1!$AM$9,Hoja1!$AF$1)</c:f>
              <c:numCache>
                <c:formatCode>General</c:formatCode>
                <c:ptCount val="2"/>
                <c:pt idx="0" formatCode="##0.0E+0">
                  <c:v>6.9444444444444458E-3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EA-4E19-BF65-4018E82E39EF}"/>
            </c:ext>
          </c:extLst>
        </c:ser>
        <c:ser>
          <c:idx val="4"/>
          <c:order val="4"/>
          <c:tx>
            <c:v>PP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(Hoja1!$AF$1,Hoja1!$AQ$9)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(Hoja1!$AF$1,Hoja1!$AR$9)</c:f>
              <c:numCache>
                <c:formatCode>0.00E+00</c:formatCode>
                <c:ptCount val="2"/>
                <c:pt idx="0" formatCode="General">
                  <c:v>0</c:v>
                </c:pt>
                <c:pt idx="1">
                  <c:v>6.9444444444444458E-3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A-4E19-BF65-4018E82E39EF}"/>
            </c:ext>
          </c:extLst>
        </c:ser>
        <c:ser>
          <c:idx val="2"/>
          <c:order val="5"/>
          <c:tx>
            <c:v>LQ2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(Hoja1!$AL$12,Hoja1!$AN$12)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(Hoja1!$AM$12,Hoja1!$AO$12)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EC-465B-97CD-BC3161A714FD}"/>
            </c:ext>
          </c:extLst>
        </c:ser>
        <c:ser>
          <c:idx val="3"/>
          <c:order val="6"/>
          <c:tx>
            <c:v>LQ</c:v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25400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(Hoja1!$AL$11,Hoja1!$AN$11)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(Hoja1!$AM$11,Hoja1!$AO$11)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30A-466B-A752-2D95EDD25626}"/>
            </c:ext>
          </c:extLst>
        </c:ser>
        <c:ser>
          <c:idx val="1"/>
          <c:order val="7"/>
          <c:tx>
            <c:v>PQ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25400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accent2"/>
              </a:solidFill>
              <a:ln w="31750" cap="rnd">
                <a:solidFill>
                  <a:schemeClr val="accent2">
                    <a:lumMod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Hoja1!$AL$9</c:f>
              <c:numCache>
                <c:formatCode>General</c:formatCode>
                <c:ptCount val="1"/>
                <c:pt idx="0">
                  <c:v>-1</c:v>
                </c:pt>
              </c:numCache>
            </c:numRef>
          </c:xVal>
          <c:yVal>
            <c:numRef>
              <c:f>Hoja1!$AM$9</c:f>
              <c:numCache>
                <c:formatCode>##0.0E+0</c:formatCode>
                <c:ptCount val="1"/>
                <c:pt idx="0">
                  <c:v>6.9444444444444458E-3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2CC-4675-8525-D5A3F82E134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52660560"/>
        <c:axId val="1152664304"/>
        <c:extLst/>
      </c:scatterChart>
      <c:valAx>
        <c:axId val="115266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 i="1"/>
                  <a:t>VGS</a:t>
                </a:r>
              </a:p>
            </c:rich>
          </c:tx>
          <c:layout>
            <c:manualLayout>
              <c:xMode val="edge"/>
              <c:yMode val="edge"/>
              <c:x val="0.47920596080576855"/>
              <c:y val="0.95077997029895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4304"/>
        <c:crossesAt val="0"/>
        <c:crossBetween val="midCat"/>
      </c:valAx>
      <c:valAx>
        <c:axId val="1152664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 i="1"/>
                  <a:t>ID</a:t>
                </a:r>
              </a:p>
            </c:rich>
          </c:tx>
          <c:layout>
            <c:manualLayout>
              <c:xMode val="edge"/>
              <c:yMode val="edge"/>
              <c:x val="7.4074084875194648E-3"/>
              <c:y val="0.475943222125604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0560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</xdr:colOff>
      <xdr:row>1</xdr:row>
      <xdr:rowOff>200025</xdr:rowOff>
    </xdr:from>
    <xdr:to>
      <xdr:col>17</xdr:col>
      <xdr:colOff>742950</xdr:colOff>
      <xdr:row>18</xdr:row>
      <xdr:rowOff>57150</xdr:rowOff>
    </xdr:to>
    <xdr:sp macro="" textlink="">
      <xdr:nvSpPr>
        <xdr:cNvPr id="12" name="Documen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687050" y="400050"/>
          <a:ext cx="1466850" cy="3295650"/>
        </a:xfrm>
        <a:prstGeom prst="flowChartDocument">
          <a:avLst/>
        </a:prstGeom>
        <a:gradFill>
          <a:gsLst>
            <a:gs pos="100000">
              <a:schemeClr val="bg1"/>
            </a:gs>
            <a:gs pos="0">
              <a:schemeClr val="bg2"/>
            </a:gs>
          </a:gsLst>
          <a:lin ang="5400000" scaled="1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2267</xdr:colOff>
      <xdr:row>19</xdr:row>
      <xdr:rowOff>85725</xdr:rowOff>
    </xdr:from>
    <xdr:to>
      <xdr:col>5</xdr:col>
      <xdr:colOff>0</xdr:colOff>
      <xdr:row>26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1587</xdr:colOff>
      <xdr:row>0</xdr:row>
      <xdr:rowOff>114301</xdr:rowOff>
    </xdr:from>
    <xdr:to>
      <xdr:col>14</xdr:col>
      <xdr:colOff>761998</xdr:colOff>
      <xdr:row>26</xdr:row>
      <xdr:rowOff>28576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102280</xdr:colOff>
      <xdr:row>7</xdr:row>
      <xdr:rowOff>18255</xdr:rowOff>
    </xdr:from>
    <xdr:to>
      <xdr:col>17</xdr:col>
      <xdr:colOff>677616</xdr:colOff>
      <xdr:row>9</xdr:row>
      <xdr:rowOff>190499</xdr:rowOff>
    </xdr:to>
    <xdr:sp macro="[0]!PQAUT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30007" y="1558876"/>
          <a:ext cx="1336057" cy="574979"/>
        </a:xfrm>
        <a:prstGeom prst="roundRect">
          <a:avLst/>
        </a:prstGeom>
        <a:gradFill>
          <a:gsLst>
            <a:gs pos="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75000"/>
              </a:schemeClr>
            </a:gs>
          </a:gsLst>
          <a:lin ang="5400000" scaled="1"/>
        </a:gradFill>
        <a:ln w="25400" cmpd="dbl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u="none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AUTOPOLARIZADA</a:t>
          </a:r>
          <a:endParaRPr lang="en-US" sz="1200" b="1" i="1" u="none" cap="none" spc="0">
            <a:ln w="10160">
              <a:noFill/>
              <a:prstDash val="solid"/>
            </a:ln>
            <a:solidFill>
              <a:schemeClr val="bg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16</xdr:col>
      <xdr:colOff>95250</xdr:colOff>
      <xdr:row>3</xdr:row>
      <xdr:rowOff>11906</xdr:rowOff>
    </xdr:from>
    <xdr:to>
      <xdr:col>17</xdr:col>
      <xdr:colOff>684010</xdr:colOff>
      <xdr:row>5</xdr:row>
      <xdr:rowOff>210956</xdr:rowOff>
    </xdr:to>
    <xdr:sp macro="[0]!PQFIJA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22977" y="747057"/>
          <a:ext cx="1349481" cy="601785"/>
        </a:xfrm>
        <a:prstGeom prst="roundRect">
          <a:avLst/>
        </a:prstGeom>
        <a:gradFill>
          <a:gsLst>
            <a:gs pos="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75000"/>
              </a:schemeClr>
            </a:gs>
          </a:gsLst>
          <a:lin ang="5400000" scaled="1"/>
        </a:gradFill>
        <a:ln w="25400" cap="rnd" cmpd="dbl">
          <a:noFill/>
          <a:prstDash val="solid"/>
          <a:round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FIJA</a:t>
          </a:r>
        </a:p>
      </xdr:txBody>
    </xdr:sp>
    <xdr:clientData/>
  </xdr:twoCellAnchor>
  <xdr:twoCellAnchor>
    <xdr:from>
      <xdr:col>16</xdr:col>
      <xdr:colOff>108674</xdr:colOff>
      <xdr:row>11</xdr:row>
      <xdr:rowOff>15875</xdr:rowOff>
    </xdr:from>
    <xdr:to>
      <xdr:col>17</xdr:col>
      <xdr:colOff>668029</xdr:colOff>
      <xdr:row>13</xdr:row>
      <xdr:rowOff>182563</xdr:rowOff>
    </xdr:to>
    <xdr:sp macro="[0]!PQDIVISOR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736401" y="2371555"/>
          <a:ext cx="1320076" cy="579011"/>
        </a:xfrm>
        <a:prstGeom prst="roundRect">
          <a:avLst/>
        </a:prstGeom>
        <a:gradFill>
          <a:gsLst>
            <a:gs pos="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75000"/>
              </a:schemeClr>
            </a:gs>
          </a:gsLst>
          <a:lin ang="5400000" scaled="1"/>
        </a:gradFill>
        <a:ln w="25400" cmpd="dbl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DIVISOR VOLTAJE</a:t>
          </a:r>
        </a:p>
      </xdr:txBody>
    </xdr:sp>
    <xdr:clientData/>
  </xdr:twoCellAnchor>
  <xdr:twoCellAnchor>
    <xdr:from>
      <xdr:col>15</xdr:col>
      <xdr:colOff>200025</xdr:colOff>
      <xdr:row>0</xdr:row>
      <xdr:rowOff>108453</xdr:rowOff>
    </xdr:from>
    <xdr:to>
      <xdr:col>18</xdr:col>
      <xdr:colOff>57150</xdr:colOff>
      <xdr:row>2</xdr:row>
      <xdr:rowOff>75446</xdr:rowOff>
    </xdr:to>
    <xdr:sp macro="" textlink="">
      <xdr:nvSpPr>
        <xdr:cNvPr id="4" name="Recortar rectángulo de esquina diagon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601325" y="108453"/>
          <a:ext cx="1628775" cy="490868"/>
        </a:xfrm>
        <a:prstGeom prst="snip2DiagRect">
          <a:avLst/>
        </a:prstGeom>
        <a:gradFill>
          <a:gsLst>
            <a:gs pos="0">
              <a:schemeClr val="accent5"/>
            </a:gs>
            <a:gs pos="100000">
              <a:schemeClr val="accent5">
                <a:lumMod val="50000"/>
              </a:schemeClr>
            </a:gs>
          </a:gsLst>
          <a:lin ang="5400000" scaled="1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CONFIGURACIÓN</a:t>
          </a:r>
        </a:p>
      </xdr:txBody>
    </xdr:sp>
    <xdr:clientData/>
  </xdr:twoCellAnchor>
  <xdr:twoCellAnchor>
    <xdr:from>
      <xdr:col>15</xdr:col>
      <xdr:colOff>123825</xdr:colOff>
      <xdr:row>22</xdr:row>
      <xdr:rowOff>114300</xdr:rowOff>
    </xdr:from>
    <xdr:to>
      <xdr:col>18</xdr:col>
      <xdr:colOff>200025</xdr:colOff>
      <xdr:row>24</xdr:row>
      <xdr:rowOff>180975</xdr:rowOff>
    </xdr:to>
    <xdr:sp macro="" textlink="">
      <xdr:nvSpPr>
        <xdr:cNvPr id="16" name="Cinta hacia arriba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525125" y="4495800"/>
          <a:ext cx="1847850" cy="447675"/>
        </a:xfrm>
        <a:prstGeom prst="ribbon2">
          <a:avLst/>
        </a:prstGeom>
        <a:gradFill>
          <a:gsLst>
            <a:gs pos="0">
              <a:srgbClr val="FF0000"/>
            </a:gs>
            <a:gs pos="100000">
              <a:srgbClr val="C00000"/>
            </a:gs>
          </a:gsLst>
          <a:lin ang="5400000" scaled="1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/>
            <a:t>CONFIGURACIÓN</a:t>
          </a:r>
          <a:r>
            <a:rPr lang="en-US" sz="800" b="1" baseline="0"/>
            <a:t> ACTIVA</a:t>
          </a:r>
          <a:endParaRPr lang="en-US" sz="8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Z505"/>
  <sheetViews>
    <sheetView showGridLines="0" tabSelected="1" zoomScaleNormal="100" zoomScaleSheetLayoutView="10" workbookViewId="0"/>
  </sheetViews>
  <sheetFormatPr baseColWidth="10" defaultRowHeight="15" x14ac:dyDescent="0.25"/>
  <cols>
    <col min="1" max="1" width="3.7109375" customWidth="1"/>
    <col min="6" max="6" width="3.7109375" customWidth="1"/>
    <col min="16" max="16" width="3.7109375" customWidth="1"/>
    <col min="31" max="32" width="11.85546875" bestFit="1" customWidth="1"/>
    <col min="38" max="38" width="12" bestFit="1" customWidth="1"/>
    <col min="40" max="40" width="13" bestFit="1" customWidth="1"/>
    <col min="44" max="44" width="12" bestFit="1" customWidth="1"/>
  </cols>
  <sheetData>
    <row r="1" spans="1:52" ht="15.75" thickBot="1" x14ac:dyDescent="0.3">
      <c r="A1" s="117"/>
      <c r="B1" s="117"/>
      <c r="C1" s="117"/>
      <c r="D1" s="117"/>
      <c r="E1" s="117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AA1" s="1"/>
      <c r="AB1" s="1"/>
      <c r="AC1" s="28">
        <f>IF(C12&lt;0,-C12,C12)</f>
        <v>20</v>
      </c>
      <c r="AD1" s="29">
        <f>IF(AC1&lt;2,1,AC1-1)</f>
        <v>19</v>
      </c>
      <c r="AE1" s="30">
        <f>IF(AD1&gt;499,499,AD1)</f>
        <v>19</v>
      </c>
      <c r="AF1" s="38">
        <v>0</v>
      </c>
      <c r="AG1" s="39">
        <f>AI1*(1-(AF1/AH1))^2</f>
        <v>0.01</v>
      </c>
      <c r="AH1" s="39">
        <f>IF(C4&gt;0,-C4,C4)</f>
        <v>-6</v>
      </c>
      <c r="AI1" s="40">
        <f>IF(C3&lt;0,-C3,C3)</f>
        <v>0.01</v>
      </c>
      <c r="AJ1" s="90" t="s">
        <v>17</v>
      </c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1"/>
      <c r="AW1" s="1"/>
      <c r="AX1" s="1"/>
      <c r="AY1" s="1"/>
      <c r="AZ1" s="1"/>
    </row>
    <row r="2" spans="1:52" ht="20.25" x14ac:dyDescent="0.25">
      <c r="A2" s="117"/>
      <c r="B2" s="108" t="s">
        <v>1</v>
      </c>
      <c r="C2" s="109"/>
      <c r="D2" s="110"/>
      <c r="E2" s="69" t="s">
        <v>0</v>
      </c>
      <c r="F2" s="113"/>
      <c r="G2" s="114"/>
      <c r="H2" s="114"/>
      <c r="I2" s="114"/>
      <c r="J2" s="114"/>
      <c r="K2" s="114"/>
      <c r="L2" s="114"/>
      <c r="M2" s="114"/>
      <c r="N2" s="114"/>
      <c r="O2" s="114"/>
      <c r="P2" s="113"/>
      <c r="Q2" s="116"/>
      <c r="R2" s="116"/>
      <c r="S2" s="115"/>
      <c r="AA2" s="1"/>
      <c r="AB2" s="1"/>
      <c r="AC2" s="31"/>
      <c r="AD2" s="32"/>
      <c r="AE2" s="33">
        <f>AE1</f>
        <v>19</v>
      </c>
      <c r="AF2" s="41">
        <f>IF(AF1+(AH1/AE2)&lt;AH1,AH1,AF1+(AH1/AE2))</f>
        <v>-0.31578947368421051</v>
      </c>
      <c r="AG2" s="42">
        <f t="shared" ref="AG2:AG65" si="0">AI2*(1-(AF2/AH2))^2</f>
        <v>8.9750692520775641E-3</v>
      </c>
      <c r="AH2" s="42">
        <f>AH1</f>
        <v>-6</v>
      </c>
      <c r="AI2" s="43">
        <f>AI1</f>
        <v>0.01</v>
      </c>
      <c r="AJ2" s="105" t="s">
        <v>9</v>
      </c>
      <c r="AK2" s="105"/>
      <c r="AL2" s="87" t="s">
        <v>10</v>
      </c>
      <c r="AM2" s="88"/>
      <c r="AN2" s="88"/>
      <c r="AO2" s="88"/>
      <c r="AP2" s="89"/>
      <c r="AQ2" s="102" t="s">
        <v>11</v>
      </c>
      <c r="AR2" s="103"/>
      <c r="AS2" s="103"/>
      <c r="AT2" s="103"/>
      <c r="AU2" s="104"/>
      <c r="AV2" s="1"/>
      <c r="AW2" s="1"/>
      <c r="AX2" s="1"/>
      <c r="AY2" s="1"/>
      <c r="AZ2" s="1"/>
    </row>
    <row r="3" spans="1:52" ht="16.5" thickBot="1" x14ac:dyDescent="0.3">
      <c r="A3" s="120"/>
      <c r="B3" s="57" t="s">
        <v>12</v>
      </c>
      <c r="C3" s="73">
        <v>0.01</v>
      </c>
      <c r="D3" s="74"/>
      <c r="E3" s="62" t="s">
        <v>13</v>
      </c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AA3" s="1"/>
      <c r="AB3" s="1"/>
      <c r="AC3" s="31"/>
      <c r="AD3" s="34"/>
      <c r="AE3" s="33">
        <f t="shared" ref="AE3:AE66" si="1">AE2</f>
        <v>19</v>
      </c>
      <c r="AF3" s="41">
        <f t="shared" ref="AF3:AF66" si="2">IF(AF2+(AH2/AE3)&lt;AH2,AH2,AF2+(AH2/AE3))</f>
        <v>-0.63157894736842102</v>
      </c>
      <c r="AG3" s="42">
        <f t="shared" si="0"/>
        <v>8.0055401662049858E-3</v>
      </c>
      <c r="AH3" s="42">
        <f t="shared" ref="AH3:AH66" si="3">AH2</f>
        <v>-6</v>
      </c>
      <c r="AI3" s="43">
        <f t="shared" ref="AI3:AI66" si="4">AI2</f>
        <v>0.01</v>
      </c>
      <c r="AJ3" s="16">
        <f>IF(C5&gt;0,-C5,C5)</f>
        <v>-1</v>
      </c>
      <c r="AK3" s="6">
        <f>AI1*(1-(AJ3/AH1))^2</f>
        <v>6.9444444444444458E-3</v>
      </c>
      <c r="AL3" s="7">
        <f>(C8/AH1)^2*AI1</f>
        <v>277.77777777777777</v>
      </c>
      <c r="AM3" s="8">
        <f>-(1+((-2*AI1*C8)/(AH1)))</f>
        <v>-4.3333333333333339</v>
      </c>
      <c r="AN3" s="8">
        <f>AI1</f>
        <v>0.01</v>
      </c>
      <c r="AO3" s="8">
        <f>IF(C8=0,AI1,(-(AM3)+((AM3)^2-4*AL3*AN3)^(1/2))/(2*AL3))</f>
        <v>1.2783974317750846E-2</v>
      </c>
      <c r="AP3" s="9">
        <f>-AO5*C8</f>
        <v>-2.8160256822491547</v>
      </c>
      <c r="AQ3" s="7">
        <f>(C10*C6)/(C9+C10)</f>
        <v>4.166666666666667</v>
      </c>
      <c r="AR3" s="8"/>
      <c r="AS3" s="8"/>
      <c r="AT3" s="8"/>
      <c r="AU3" s="9"/>
      <c r="AV3" s="1"/>
      <c r="AW3" s="1"/>
      <c r="AX3" s="1"/>
      <c r="AY3" s="1"/>
      <c r="AZ3" s="1"/>
    </row>
    <row r="4" spans="1:52" ht="15.75" x14ac:dyDescent="0.25">
      <c r="A4" s="120"/>
      <c r="B4" s="58" t="s">
        <v>14</v>
      </c>
      <c r="C4" s="75">
        <v>6</v>
      </c>
      <c r="D4" s="76"/>
      <c r="E4" s="63" t="s">
        <v>15</v>
      </c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AA4" s="1"/>
      <c r="AB4" s="1"/>
      <c r="AC4" s="31"/>
      <c r="AD4" s="32"/>
      <c r="AE4" s="33">
        <f t="shared" si="1"/>
        <v>19</v>
      </c>
      <c r="AF4" s="41">
        <f t="shared" si="2"/>
        <v>-0.94736842105263153</v>
      </c>
      <c r="AG4" s="42">
        <f t="shared" si="0"/>
        <v>7.0914127423822703E-3</v>
      </c>
      <c r="AH4" s="42">
        <f t="shared" si="3"/>
        <v>-6</v>
      </c>
      <c r="AI4" s="43">
        <f t="shared" si="4"/>
        <v>0.01</v>
      </c>
      <c r="AJ4" s="10"/>
      <c r="AK4" s="10"/>
      <c r="AL4" s="7"/>
      <c r="AM4" s="11"/>
      <c r="AN4" s="8"/>
      <c r="AO4" s="12">
        <f>IF(C8=0,AI1,(-(AM3)-((AM3)^2-4*AL3*AN3)^(1/2))/(2*AL3))</f>
        <v>2.8160256822491545E-3</v>
      </c>
      <c r="AP4" s="13"/>
      <c r="AQ4" s="14">
        <f>C8^2*(1/C4)^2*C3</f>
        <v>277.77777777777777</v>
      </c>
      <c r="AR4" s="12">
        <f>(-2*C3*C8/C4)-(2*AQ3*C8*(1/C4)^2*C3)-1</f>
        <v>-6.6481481481481488</v>
      </c>
      <c r="AS4" s="8">
        <f>C3+(2*C3*AQ3/C4)+(1/C4)^2*C3*AQ3^2</f>
        <v>2.8711419753086422E-2</v>
      </c>
      <c r="AT4" s="8">
        <f>(-(AR4)+((AR4)^2-4*AQ4*AS4)^(1/2))/(2*AQ4)</f>
        <v>1.8278560201890469E-2</v>
      </c>
      <c r="AU4" s="9">
        <f>AQ3-AT6*C8</f>
        <v>-1.488106464776199</v>
      </c>
      <c r="AV4" s="1"/>
      <c r="AW4" s="1"/>
      <c r="AX4" s="1"/>
      <c r="AY4" s="1"/>
      <c r="AZ4" s="1"/>
    </row>
    <row r="5" spans="1:52" ht="15.75" x14ac:dyDescent="0.25">
      <c r="A5" s="120"/>
      <c r="B5" s="59" t="s">
        <v>16</v>
      </c>
      <c r="C5" s="77">
        <v>1</v>
      </c>
      <c r="D5" s="78"/>
      <c r="E5" s="64" t="s">
        <v>15</v>
      </c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AA5" s="1"/>
      <c r="AB5" s="1"/>
      <c r="AC5" s="31"/>
      <c r="AD5" s="32"/>
      <c r="AE5" s="33">
        <f t="shared" si="1"/>
        <v>19</v>
      </c>
      <c r="AF5" s="41">
        <f t="shared" si="2"/>
        <v>-1.263157894736842</v>
      </c>
      <c r="AG5" s="42">
        <f t="shared" si="0"/>
        <v>6.2326869806094186E-3</v>
      </c>
      <c r="AH5" s="42">
        <f t="shared" si="3"/>
        <v>-6</v>
      </c>
      <c r="AI5" s="43">
        <f t="shared" si="4"/>
        <v>0.01</v>
      </c>
      <c r="AJ5" s="10"/>
      <c r="AK5" s="10"/>
      <c r="AL5" s="7"/>
      <c r="AM5" s="11"/>
      <c r="AN5" s="8"/>
      <c r="AO5" s="12">
        <f>IF(AO3&gt;AI1,AO4,AO3)</f>
        <v>2.8160256822491545E-3</v>
      </c>
      <c r="AP5" s="13"/>
      <c r="AQ5" s="14"/>
      <c r="AR5" s="12"/>
      <c r="AS5" s="8"/>
      <c r="AT5" s="8">
        <f>(-(AR4)-((AR4)^2-4*AQ4*AS4)^(1/2))/(2*AQ4)</f>
        <v>5.6547731314428662E-3</v>
      </c>
      <c r="AU5" s="9"/>
      <c r="AV5" s="1"/>
      <c r="AW5" s="1"/>
      <c r="AX5" s="1"/>
      <c r="AY5" s="1"/>
      <c r="AZ5" s="1"/>
    </row>
    <row r="6" spans="1:52" ht="16.5" thickBot="1" x14ac:dyDescent="0.3">
      <c r="A6" s="120"/>
      <c r="B6" s="58" t="s">
        <v>18</v>
      </c>
      <c r="C6" s="75">
        <v>25</v>
      </c>
      <c r="D6" s="76"/>
      <c r="E6" s="65" t="s">
        <v>15</v>
      </c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AA6" s="1"/>
      <c r="AB6" s="1"/>
      <c r="AC6" s="31"/>
      <c r="AD6" s="32"/>
      <c r="AE6" s="33">
        <f t="shared" si="1"/>
        <v>19</v>
      </c>
      <c r="AF6" s="41">
        <f t="shared" si="2"/>
        <v>-1.5789473684210527</v>
      </c>
      <c r="AG6" s="42">
        <f t="shared" si="0"/>
        <v>5.4293628808864281E-3</v>
      </c>
      <c r="AH6" s="42">
        <f t="shared" si="3"/>
        <v>-6</v>
      </c>
      <c r="AI6" s="43">
        <f t="shared" si="4"/>
        <v>0.01</v>
      </c>
      <c r="AJ6" s="10"/>
      <c r="AK6" s="10"/>
      <c r="AL6" s="19">
        <f>-AI1*C8/2</f>
        <v>-5</v>
      </c>
      <c r="AM6" s="15">
        <f>AI1/2</f>
        <v>5.0000000000000001E-3</v>
      </c>
      <c r="AN6" s="15"/>
      <c r="AO6" s="16"/>
      <c r="AP6" s="17"/>
      <c r="AQ6" s="20">
        <f>(C10*C6)/(C9+C10)</f>
        <v>4.166666666666667</v>
      </c>
      <c r="AR6" s="6">
        <f>AQ6/C8</f>
        <v>4.1666666666666666E-3</v>
      </c>
      <c r="AS6" s="15"/>
      <c r="AT6" s="15">
        <f>IF(AT4&gt;AI1,AT5,AT4)</f>
        <v>5.6547731314428662E-3</v>
      </c>
      <c r="AU6" s="18"/>
      <c r="AV6" s="1"/>
      <c r="AW6" s="1"/>
      <c r="AX6" s="1"/>
      <c r="AY6" s="1"/>
      <c r="AZ6" s="1"/>
    </row>
    <row r="7" spans="1:52" ht="15" customHeight="1" thickBot="1" x14ac:dyDescent="0.3">
      <c r="A7" s="120"/>
      <c r="B7" s="57" t="s">
        <v>19</v>
      </c>
      <c r="C7" s="106">
        <v>1000</v>
      </c>
      <c r="D7" s="107"/>
      <c r="E7" s="62" t="s">
        <v>7</v>
      </c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AA7" s="1"/>
      <c r="AB7" s="1"/>
      <c r="AC7" s="31"/>
      <c r="AD7" s="32"/>
      <c r="AE7" s="33">
        <f t="shared" si="1"/>
        <v>19</v>
      </c>
      <c r="AF7" s="41">
        <f t="shared" si="2"/>
        <v>-1.8947368421052633</v>
      </c>
      <c r="AG7" s="42">
        <f t="shared" si="0"/>
        <v>4.6814404432132953E-3</v>
      </c>
      <c r="AH7" s="42">
        <f t="shared" si="3"/>
        <v>-6</v>
      </c>
      <c r="AI7" s="43">
        <f t="shared" si="4"/>
        <v>0.01</v>
      </c>
      <c r="AJ7" s="2"/>
      <c r="AK7" s="2"/>
      <c r="AL7" s="3"/>
      <c r="AM7" s="1"/>
      <c r="AN7" s="3"/>
      <c r="AO7" s="2"/>
      <c r="AP7" s="4"/>
      <c r="AQ7" s="2"/>
      <c r="AR7" s="5"/>
      <c r="AS7" s="1"/>
      <c r="AT7" s="1"/>
      <c r="AU7" s="1"/>
      <c r="AV7" s="1"/>
      <c r="AW7" s="1"/>
      <c r="AX7" s="1"/>
      <c r="AY7" s="1"/>
      <c r="AZ7" s="1"/>
    </row>
    <row r="8" spans="1:52" ht="15.75" x14ac:dyDescent="0.25">
      <c r="A8" s="120"/>
      <c r="B8" s="60" t="s">
        <v>20</v>
      </c>
      <c r="C8" s="75">
        <v>1000</v>
      </c>
      <c r="D8" s="76"/>
      <c r="E8" s="63" t="s">
        <v>7</v>
      </c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AA8" s="1"/>
      <c r="AB8" s="1"/>
      <c r="AC8" s="31"/>
      <c r="AD8" s="32"/>
      <c r="AE8" s="33">
        <f t="shared" si="1"/>
        <v>19</v>
      </c>
      <c r="AF8" s="41">
        <f t="shared" si="2"/>
        <v>-2.2105263157894739</v>
      </c>
      <c r="AG8" s="42">
        <f t="shared" si="0"/>
        <v>3.9889196675900272E-3</v>
      </c>
      <c r="AH8" s="42">
        <f t="shared" si="3"/>
        <v>-6</v>
      </c>
      <c r="AI8" s="43">
        <f t="shared" si="4"/>
        <v>0.01</v>
      </c>
      <c r="AJ8" s="2"/>
      <c r="AK8" s="49"/>
      <c r="AL8" s="50" t="s">
        <v>23</v>
      </c>
      <c r="AM8" s="51" t="s">
        <v>24</v>
      </c>
      <c r="AN8" s="52"/>
      <c r="AO8" s="53"/>
      <c r="AP8" s="4"/>
      <c r="AQ8" s="54" t="s">
        <v>23</v>
      </c>
      <c r="AR8" s="55" t="s">
        <v>24</v>
      </c>
      <c r="AS8" s="1"/>
      <c r="AT8" s="1"/>
      <c r="AU8" s="1"/>
      <c r="AV8" s="1"/>
      <c r="AW8" s="1"/>
      <c r="AX8" s="1"/>
      <c r="AY8" s="1"/>
      <c r="AZ8" s="1"/>
    </row>
    <row r="9" spans="1:52" ht="15.75" x14ac:dyDescent="0.25">
      <c r="A9" s="120"/>
      <c r="B9" s="61" t="s">
        <v>21</v>
      </c>
      <c r="C9" s="77">
        <v>5000</v>
      </c>
      <c r="D9" s="78"/>
      <c r="E9" s="64" t="s">
        <v>7</v>
      </c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AA9" s="1"/>
      <c r="AB9" s="1"/>
      <c r="AC9" s="31"/>
      <c r="AD9" s="32"/>
      <c r="AE9" s="33">
        <f t="shared" si="1"/>
        <v>19</v>
      </c>
      <c r="AF9" s="41">
        <f t="shared" si="2"/>
        <v>-2.5263157894736845</v>
      </c>
      <c r="AG9" s="42">
        <f t="shared" si="0"/>
        <v>3.3518005540166206E-3</v>
      </c>
      <c r="AH9" s="42">
        <f t="shared" si="3"/>
        <v>-6</v>
      </c>
      <c r="AI9" s="43">
        <f t="shared" si="4"/>
        <v>0.01</v>
      </c>
      <c r="AJ9" s="2"/>
      <c r="AK9" s="21">
        <v>1</v>
      </c>
      <c r="AL9" s="1">
        <f>IF(AK9=1,AJ3,IF(AK9=2,AP3,AU4))</f>
        <v>-1</v>
      </c>
      <c r="AM9" s="3">
        <f>IF(AK9=1,AK3,IF(AK9=2,AO5,AT6))</f>
        <v>6.9444444444444458E-3</v>
      </c>
      <c r="AN9" s="3"/>
      <c r="AO9" s="22"/>
      <c r="AP9" s="4"/>
      <c r="AQ9" s="21">
        <f>AL9-AH1</f>
        <v>5</v>
      </c>
      <c r="AR9" s="47">
        <f>AM9</f>
        <v>6.9444444444444458E-3</v>
      </c>
      <c r="AS9" s="1"/>
      <c r="AT9" s="1"/>
      <c r="AU9" s="1"/>
      <c r="AV9" s="1"/>
      <c r="AW9" s="1"/>
      <c r="AX9" s="1"/>
      <c r="AY9" s="1"/>
      <c r="AZ9" s="1"/>
    </row>
    <row r="10" spans="1:52" ht="16.5" thickBot="1" x14ac:dyDescent="0.3">
      <c r="A10" s="120"/>
      <c r="B10" s="56" t="s">
        <v>22</v>
      </c>
      <c r="C10" s="100">
        <v>1000</v>
      </c>
      <c r="D10" s="101"/>
      <c r="E10" s="66" t="s">
        <v>7</v>
      </c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AA10" s="1"/>
      <c r="AB10" s="1"/>
      <c r="AC10" s="31"/>
      <c r="AD10" s="32"/>
      <c r="AE10" s="33">
        <f t="shared" si="1"/>
        <v>19</v>
      </c>
      <c r="AF10" s="41">
        <f t="shared" si="2"/>
        <v>-2.8421052631578951</v>
      </c>
      <c r="AG10" s="42">
        <f t="shared" si="0"/>
        <v>2.7700831024930735E-3</v>
      </c>
      <c r="AH10" s="42">
        <f t="shared" si="3"/>
        <v>-6</v>
      </c>
      <c r="AI10" s="43">
        <f t="shared" si="4"/>
        <v>0.01</v>
      </c>
      <c r="AJ10" s="2"/>
      <c r="AK10" s="21"/>
      <c r="AL10" s="3"/>
      <c r="AM10" s="1"/>
      <c r="AN10" s="3"/>
      <c r="AO10" s="22"/>
      <c r="AP10" s="4"/>
      <c r="AQ10" s="24">
        <f>AQ9+AQ9</f>
        <v>10</v>
      </c>
      <c r="AR10" s="48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17"/>
      <c r="B11" s="121"/>
      <c r="C11" s="121"/>
      <c r="D11" s="121"/>
      <c r="E11" s="121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AA11" s="1"/>
      <c r="AB11" s="1"/>
      <c r="AC11" s="31"/>
      <c r="AD11" s="32"/>
      <c r="AE11" s="33">
        <f t="shared" si="1"/>
        <v>19</v>
      </c>
      <c r="AF11" s="41">
        <f t="shared" si="2"/>
        <v>-3.1578947368421058</v>
      </c>
      <c r="AG11" s="42">
        <f t="shared" si="0"/>
        <v>2.2437673130193897E-3</v>
      </c>
      <c r="AH11" s="42">
        <f t="shared" si="3"/>
        <v>-6</v>
      </c>
      <c r="AI11" s="43">
        <f t="shared" si="4"/>
        <v>0.01</v>
      </c>
      <c r="AJ11" s="2"/>
      <c r="AK11" s="21"/>
      <c r="AL11" s="1">
        <f>IF(AK9=2,AL6,IF(AK9=3,0,0))</f>
        <v>0</v>
      </c>
      <c r="AM11" s="3">
        <f>IF(AK9=2,AM6,IF(AK9=3,AR6,0))</f>
        <v>0</v>
      </c>
      <c r="AN11" s="1">
        <f>IF(AK9=2,0,IF(AK9=3,AQ6,0))</f>
        <v>0</v>
      </c>
      <c r="AO11" s="23">
        <f>IF(AK9=2,0,IF(AK9=3,0,0))</f>
        <v>0</v>
      </c>
      <c r="AP11" s="4"/>
      <c r="AQ11" s="2"/>
      <c r="AR11" s="5"/>
      <c r="AS11" s="1"/>
      <c r="AT11" s="1"/>
      <c r="AU11" s="1"/>
      <c r="AV11" s="1"/>
      <c r="AW11" s="1"/>
      <c r="AX11" s="1"/>
      <c r="AY11" s="1"/>
      <c r="AZ11" s="1"/>
    </row>
    <row r="12" spans="1:52" ht="16.5" thickBot="1" x14ac:dyDescent="0.3">
      <c r="A12" s="120"/>
      <c r="B12" s="67" t="s">
        <v>5</v>
      </c>
      <c r="C12" s="68">
        <v>20</v>
      </c>
      <c r="D12" s="70" t="s">
        <v>8</v>
      </c>
      <c r="E12" s="71" t="s">
        <v>6</v>
      </c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AA12" s="1"/>
      <c r="AB12" s="1"/>
      <c r="AC12" s="31"/>
      <c r="AD12" s="32"/>
      <c r="AE12" s="33">
        <f t="shared" si="1"/>
        <v>19</v>
      </c>
      <c r="AF12" s="41">
        <f t="shared" si="2"/>
        <v>-3.4736842105263164</v>
      </c>
      <c r="AG12" s="42">
        <f t="shared" si="0"/>
        <v>1.7728531855955667E-3</v>
      </c>
      <c r="AH12" s="42">
        <f t="shared" si="3"/>
        <v>-6</v>
      </c>
      <c r="AI12" s="43">
        <f t="shared" si="4"/>
        <v>0.01</v>
      </c>
      <c r="AJ12" s="2"/>
      <c r="AK12" s="24"/>
      <c r="AL12" s="25">
        <f>IF(AK9=3,AU4,0)</f>
        <v>0</v>
      </c>
      <c r="AM12" s="26">
        <f>IF(AK9=3,AT6,0)</f>
        <v>0</v>
      </c>
      <c r="AN12" s="25">
        <f>IF(AK9=3,0,0)</f>
        <v>0</v>
      </c>
      <c r="AO12" s="27">
        <f>IF(AK9=3,AR6,0)</f>
        <v>0</v>
      </c>
      <c r="AP12" s="4"/>
      <c r="AQ12" s="2"/>
      <c r="AR12" s="5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17"/>
      <c r="B13" s="119"/>
      <c r="C13" s="119"/>
      <c r="D13" s="119"/>
      <c r="E13" s="119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AA13" s="1"/>
      <c r="AB13" s="1"/>
      <c r="AC13" s="31"/>
      <c r="AD13" s="32"/>
      <c r="AE13" s="33">
        <f t="shared" si="1"/>
        <v>19</v>
      </c>
      <c r="AF13" s="41">
        <f t="shared" si="2"/>
        <v>-3.789473684210527</v>
      </c>
      <c r="AG13" s="42">
        <f t="shared" si="0"/>
        <v>1.3573407202216062E-3</v>
      </c>
      <c r="AH13" s="42">
        <f t="shared" si="3"/>
        <v>-6</v>
      </c>
      <c r="AI13" s="43">
        <f t="shared" si="4"/>
        <v>0.01</v>
      </c>
      <c r="AJ13" s="2"/>
      <c r="AK13" s="2"/>
      <c r="AL13" s="3"/>
      <c r="AM13" s="1"/>
      <c r="AN13" s="3"/>
      <c r="AO13" s="2"/>
      <c r="AP13" s="4"/>
      <c r="AQ13" s="2"/>
      <c r="AR13" s="5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20"/>
      <c r="B14" s="97" t="s">
        <v>2</v>
      </c>
      <c r="C14" s="98"/>
      <c r="D14" s="98"/>
      <c r="E14" s="99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AA14" s="1"/>
      <c r="AB14" s="1"/>
      <c r="AC14" s="31"/>
      <c r="AD14" s="32"/>
      <c r="AE14" s="33">
        <f t="shared" si="1"/>
        <v>19</v>
      </c>
      <c r="AF14" s="41">
        <f t="shared" si="2"/>
        <v>-4.1052631578947372</v>
      </c>
      <c r="AG14" s="42">
        <f t="shared" si="0"/>
        <v>9.9722991689750679E-4</v>
      </c>
      <c r="AH14" s="42">
        <f t="shared" si="3"/>
        <v>-6</v>
      </c>
      <c r="AI14" s="43">
        <f t="shared" si="4"/>
        <v>0.01</v>
      </c>
      <c r="AJ14" s="2"/>
      <c r="AK14" s="2"/>
      <c r="AL14" s="3"/>
      <c r="AM14" s="1"/>
      <c r="AN14" s="3"/>
      <c r="AO14" s="2"/>
      <c r="AP14" s="4"/>
      <c r="AQ14" s="2"/>
      <c r="AR14" s="5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20"/>
      <c r="B15" s="91" t="s">
        <v>3</v>
      </c>
      <c r="C15" s="92"/>
      <c r="D15" s="95" t="s">
        <v>4</v>
      </c>
      <c r="E15" s="96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AA15" s="1"/>
      <c r="AB15" s="1"/>
      <c r="AC15" s="31"/>
      <c r="AD15" s="32"/>
      <c r="AE15" s="33">
        <f t="shared" si="1"/>
        <v>19</v>
      </c>
      <c r="AF15" s="41">
        <f t="shared" si="2"/>
        <v>-4.4210526315789478</v>
      </c>
      <c r="AG15" s="42">
        <f t="shared" si="0"/>
        <v>6.9252077562326837E-4</v>
      </c>
      <c r="AH15" s="42">
        <f t="shared" si="3"/>
        <v>-6</v>
      </c>
      <c r="AI15" s="43">
        <f t="shared" si="4"/>
        <v>0.01</v>
      </c>
      <c r="AJ15" s="2"/>
      <c r="AK15" s="2"/>
      <c r="AL15" s="3"/>
      <c r="AM15" s="1"/>
      <c r="AN15" s="3"/>
      <c r="AO15" s="2"/>
      <c r="AP15" s="4"/>
      <c r="AQ15" s="2"/>
      <c r="AR15" s="5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20"/>
      <c r="B16" s="79">
        <v>0</v>
      </c>
      <c r="C16" s="80"/>
      <c r="D16" s="83">
        <f>C3</f>
        <v>0.01</v>
      </c>
      <c r="E16" s="84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AA16" s="1"/>
      <c r="AB16" s="1"/>
      <c r="AC16" s="31"/>
      <c r="AD16" s="32"/>
      <c r="AE16" s="33">
        <f t="shared" si="1"/>
        <v>19</v>
      </c>
      <c r="AF16" s="41">
        <f t="shared" si="2"/>
        <v>-4.7368421052631584</v>
      </c>
      <c r="AG16" s="42">
        <f t="shared" si="0"/>
        <v>4.4321329639889151E-4</v>
      </c>
      <c r="AH16" s="42">
        <f t="shared" si="3"/>
        <v>-6</v>
      </c>
      <c r="AI16" s="43">
        <f t="shared" si="4"/>
        <v>0.01</v>
      </c>
      <c r="AJ16" s="2"/>
      <c r="AK16" s="2"/>
      <c r="AL16" s="3"/>
      <c r="AM16" s="1"/>
      <c r="AN16" s="3"/>
      <c r="AO16" s="2"/>
      <c r="AP16" s="4"/>
      <c r="AQ16" s="2"/>
      <c r="AR16" s="5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20"/>
      <c r="B17" s="93">
        <f>IF(0.3*C4&gt;0,-0.3*C4,0.3*C4)</f>
        <v>-1.7999999999999998</v>
      </c>
      <c r="C17" s="94"/>
      <c r="D17" s="111">
        <f>C3/2</f>
        <v>5.0000000000000001E-3</v>
      </c>
      <c r="E17" s="112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AA17" s="1"/>
      <c r="AB17" s="1"/>
      <c r="AC17" s="31"/>
      <c r="AD17" s="32"/>
      <c r="AE17" s="33">
        <f t="shared" si="1"/>
        <v>19</v>
      </c>
      <c r="AF17" s="41">
        <f t="shared" si="2"/>
        <v>-5.052631578947369</v>
      </c>
      <c r="AG17" s="42">
        <f t="shared" si="0"/>
        <v>2.4930747922437653E-4</v>
      </c>
      <c r="AH17" s="42">
        <f t="shared" si="3"/>
        <v>-6</v>
      </c>
      <c r="AI17" s="43">
        <f t="shared" si="4"/>
        <v>0.01</v>
      </c>
      <c r="AJ17" s="2"/>
      <c r="AK17" s="2"/>
      <c r="AL17" s="3"/>
      <c r="AM17" s="1"/>
      <c r="AN17" s="3"/>
      <c r="AO17" s="2"/>
      <c r="AP17" s="4"/>
      <c r="AQ17" s="2"/>
      <c r="AR17" s="5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20"/>
      <c r="B18" s="79">
        <f>IF(0.5*C4&gt;0,-0.5*C4,0.5*C4)</f>
        <v>-3</v>
      </c>
      <c r="C18" s="80"/>
      <c r="D18" s="83">
        <f>C3/4</f>
        <v>2.5000000000000001E-3</v>
      </c>
      <c r="E18" s="84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AA18" s="1"/>
      <c r="AB18" s="1"/>
      <c r="AC18" s="31"/>
      <c r="AD18" s="32"/>
      <c r="AE18" s="33">
        <f t="shared" si="1"/>
        <v>19</v>
      </c>
      <c r="AF18" s="41">
        <f t="shared" si="2"/>
        <v>-5.3684210526315796</v>
      </c>
      <c r="AG18" s="42">
        <f t="shared" si="0"/>
        <v>1.1080332409972276E-4</v>
      </c>
      <c r="AH18" s="42">
        <f t="shared" si="3"/>
        <v>-6</v>
      </c>
      <c r="AI18" s="43">
        <f t="shared" si="4"/>
        <v>0.01</v>
      </c>
      <c r="AJ18" s="2"/>
      <c r="AK18" s="2"/>
      <c r="AL18" s="3"/>
      <c r="AM18" s="1"/>
      <c r="AN18" s="3"/>
      <c r="AO18" s="2"/>
      <c r="AP18" s="4"/>
      <c r="AQ18" s="2"/>
      <c r="AR18" s="5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20"/>
      <c r="B19" s="81">
        <f>IF(C4&gt;0,-C4,C4)</f>
        <v>-6</v>
      </c>
      <c r="C19" s="82"/>
      <c r="D19" s="85">
        <v>0</v>
      </c>
      <c r="E19" s="86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7"/>
      <c r="R19" s="118"/>
      <c r="S19" s="113"/>
      <c r="AA19" s="1"/>
      <c r="AB19" s="1"/>
      <c r="AC19" s="31"/>
      <c r="AD19" s="32"/>
      <c r="AE19" s="33">
        <f t="shared" si="1"/>
        <v>19</v>
      </c>
      <c r="AF19" s="41">
        <f t="shared" si="2"/>
        <v>-5.6842105263157903</v>
      </c>
      <c r="AG19" s="42">
        <f t="shared" si="0"/>
        <v>2.7700831024930571E-5</v>
      </c>
      <c r="AH19" s="42">
        <f t="shared" si="3"/>
        <v>-6</v>
      </c>
      <c r="AI19" s="43">
        <f t="shared" si="4"/>
        <v>0.01</v>
      </c>
      <c r="AJ19" s="2"/>
      <c r="AK19" s="2"/>
      <c r="AL19" s="3"/>
      <c r="AM19" s="1"/>
      <c r="AN19" s="3"/>
      <c r="AO19" s="2"/>
      <c r="AP19" s="4"/>
      <c r="AQ19" s="2"/>
      <c r="AR19" s="5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17"/>
      <c r="B20" s="117"/>
      <c r="C20" s="117"/>
      <c r="D20" s="117"/>
      <c r="E20" s="117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72" t="str">
        <f>IF(AK9=1,"TÍPICA O FIJA",IF(AK9=2,"RESISTENCIA EN LA FUENTE: AUTOPOLARIZACIÓN","DIVISOR DE VOLTAJE"))</f>
        <v>TÍPICA O FIJA</v>
      </c>
      <c r="R20" s="72"/>
      <c r="S20" s="113"/>
      <c r="AA20" s="1"/>
      <c r="AB20" s="1"/>
      <c r="AC20" s="31"/>
      <c r="AD20" s="32"/>
      <c r="AE20" s="33">
        <f t="shared" si="1"/>
        <v>19</v>
      </c>
      <c r="AF20" s="41">
        <f t="shared" si="2"/>
        <v>-6.0000000000000009</v>
      </c>
      <c r="AG20" s="42">
        <f t="shared" si="0"/>
        <v>4.9303806576313239E-34</v>
      </c>
      <c r="AH20" s="42">
        <f t="shared" si="3"/>
        <v>-6</v>
      </c>
      <c r="AI20" s="43">
        <f t="shared" si="4"/>
        <v>0.01</v>
      </c>
      <c r="AJ20" s="2"/>
      <c r="AK20" s="2"/>
      <c r="AL20" s="3"/>
      <c r="AM20" s="1"/>
      <c r="AN20" s="3"/>
      <c r="AO20" s="2"/>
      <c r="AP20" s="4"/>
      <c r="AQ20" s="2"/>
      <c r="AR20" s="5"/>
      <c r="AS20" s="1"/>
      <c r="AT20" s="1"/>
      <c r="AU20" s="1"/>
      <c r="AV20" s="1"/>
      <c r="AW20" s="1"/>
      <c r="AX20" s="1"/>
      <c r="AY20" s="1"/>
      <c r="AZ20" s="1"/>
    </row>
    <row r="21" spans="1:52" ht="15" customHeight="1" x14ac:dyDescent="0.25">
      <c r="A21" s="117"/>
      <c r="B21" s="117"/>
      <c r="C21" s="117"/>
      <c r="D21" s="117"/>
      <c r="E21" s="117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72"/>
      <c r="R21" s="72"/>
      <c r="S21" s="113"/>
      <c r="AA21" s="1"/>
      <c r="AB21" s="1"/>
      <c r="AC21" s="31"/>
      <c r="AD21" s="32"/>
      <c r="AE21" s="33">
        <f t="shared" si="1"/>
        <v>19</v>
      </c>
      <c r="AF21" s="41">
        <f t="shared" si="2"/>
        <v>-6</v>
      </c>
      <c r="AG21" s="42">
        <f t="shared" si="0"/>
        <v>0</v>
      </c>
      <c r="AH21" s="42">
        <f t="shared" si="3"/>
        <v>-6</v>
      </c>
      <c r="AI21" s="43">
        <f t="shared" si="4"/>
        <v>0.01</v>
      </c>
      <c r="AJ21" s="2"/>
      <c r="AK21" s="2"/>
      <c r="AL21" s="3"/>
      <c r="AM21" s="1"/>
      <c r="AN21" s="3"/>
      <c r="AO21" s="2"/>
      <c r="AP21" s="4"/>
      <c r="AQ21" s="2"/>
      <c r="AR21" s="5"/>
      <c r="AS21" s="1"/>
      <c r="AT21" s="1"/>
      <c r="AU21" s="1"/>
      <c r="AV21" s="1"/>
      <c r="AW21" s="1"/>
      <c r="AX21" s="1"/>
      <c r="AY21" s="1"/>
      <c r="AZ21" s="1"/>
    </row>
    <row r="22" spans="1:52" ht="15" customHeight="1" x14ac:dyDescent="0.25">
      <c r="A22" s="117"/>
      <c r="B22" s="117"/>
      <c r="C22" s="117"/>
      <c r="D22" s="117"/>
      <c r="E22" s="117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72"/>
      <c r="R22" s="72"/>
      <c r="S22" s="113"/>
      <c r="AA22" s="1"/>
      <c r="AB22" s="1"/>
      <c r="AC22" s="31"/>
      <c r="AD22" s="32"/>
      <c r="AE22" s="33">
        <f t="shared" si="1"/>
        <v>19</v>
      </c>
      <c r="AF22" s="41">
        <f t="shared" si="2"/>
        <v>-6</v>
      </c>
      <c r="AG22" s="42">
        <f t="shared" si="0"/>
        <v>0</v>
      </c>
      <c r="AH22" s="42">
        <f t="shared" si="3"/>
        <v>-6</v>
      </c>
      <c r="AI22" s="43">
        <f t="shared" si="4"/>
        <v>0.01</v>
      </c>
      <c r="AJ22" s="2"/>
      <c r="AK22" s="2"/>
      <c r="AL22" s="3"/>
      <c r="AM22" s="1"/>
      <c r="AN22" s="3"/>
      <c r="AO22" s="2"/>
      <c r="AP22" s="4"/>
      <c r="AQ22" s="2"/>
      <c r="AR22" s="5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17"/>
      <c r="B23" s="117"/>
      <c r="C23" s="117"/>
      <c r="D23" s="117"/>
      <c r="E23" s="117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72"/>
      <c r="R23" s="72"/>
      <c r="S23" s="113"/>
      <c r="AA23" s="1"/>
      <c r="AB23" s="1"/>
      <c r="AC23" s="31"/>
      <c r="AD23" s="32"/>
      <c r="AE23" s="33">
        <f t="shared" si="1"/>
        <v>19</v>
      </c>
      <c r="AF23" s="41">
        <f t="shared" si="2"/>
        <v>-6</v>
      </c>
      <c r="AG23" s="42">
        <f t="shared" si="0"/>
        <v>0</v>
      </c>
      <c r="AH23" s="42">
        <f t="shared" si="3"/>
        <v>-6</v>
      </c>
      <c r="AI23" s="43">
        <f t="shared" si="4"/>
        <v>0.01</v>
      </c>
      <c r="AJ23" s="2"/>
      <c r="AK23" s="2"/>
      <c r="AL23" s="3"/>
      <c r="AM23" s="1"/>
      <c r="AN23" s="3"/>
      <c r="AO23" s="2"/>
      <c r="AP23" s="4"/>
      <c r="AQ23" s="2"/>
      <c r="AR23" s="5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17"/>
      <c r="B24" s="117"/>
      <c r="C24" s="117"/>
      <c r="D24" s="117"/>
      <c r="E24" s="117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AA24" s="1"/>
      <c r="AB24" s="1"/>
      <c r="AC24" s="31"/>
      <c r="AD24" s="32"/>
      <c r="AE24" s="33">
        <f t="shared" si="1"/>
        <v>19</v>
      </c>
      <c r="AF24" s="41">
        <f t="shared" si="2"/>
        <v>-6</v>
      </c>
      <c r="AG24" s="42">
        <f t="shared" si="0"/>
        <v>0</v>
      </c>
      <c r="AH24" s="42">
        <f t="shared" si="3"/>
        <v>-6</v>
      </c>
      <c r="AI24" s="43">
        <f t="shared" si="4"/>
        <v>0.01</v>
      </c>
      <c r="AJ24" s="2"/>
      <c r="AK24" s="2"/>
      <c r="AL24" s="3"/>
      <c r="AM24" s="1"/>
      <c r="AN24" s="3"/>
      <c r="AO24" s="2"/>
      <c r="AP24" s="4"/>
      <c r="AQ24" s="2"/>
      <c r="AR24" s="5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17"/>
      <c r="B25" s="117"/>
      <c r="C25" s="117"/>
      <c r="D25" s="117"/>
      <c r="E25" s="117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AA25" s="1"/>
      <c r="AB25" s="1"/>
      <c r="AC25" s="31"/>
      <c r="AD25" s="32"/>
      <c r="AE25" s="33">
        <f t="shared" si="1"/>
        <v>19</v>
      </c>
      <c r="AF25" s="41">
        <f t="shared" si="2"/>
        <v>-6</v>
      </c>
      <c r="AG25" s="42">
        <f t="shared" si="0"/>
        <v>0</v>
      </c>
      <c r="AH25" s="42">
        <f t="shared" si="3"/>
        <v>-6</v>
      </c>
      <c r="AI25" s="43">
        <f t="shared" si="4"/>
        <v>0.01</v>
      </c>
      <c r="AJ25" s="2"/>
      <c r="AK25" s="2"/>
      <c r="AL25" s="3"/>
      <c r="AM25" s="1"/>
      <c r="AN25" s="3"/>
      <c r="AO25" s="2"/>
      <c r="AP25" s="4"/>
      <c r="AQ25" s="2"/>
      <c r="AR25" s="5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17"/>
      <c r="B26" s="117"/>
      <c r="C26" s="117"/>
      <c r="D26" s="117"/>
      <c r="E26" s="117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22" t="s">
        <v>25</v>
      </c>
      <c r="R26" s="122"/>
      <c r="S26" s="113"/>
      <c r="AA26" s="1"/>
      <c r="AB26" s="1"/>
      <c r="AC26" s="31"/>
      <c r="AD26" s="32"/>
      <c r="AE26" s="33">
        <f t="shared" si="1"/>
        <v>19</v>
      </c>
      <c r="AF26" s="41">
        <f t="shared" si="2"/>
        <v>-6</v>
      </c>
      <c r="AG26" s="42">
        <f t="shared" si="0"/>
        <v>0</v>
      </c>
      <c r="AH26" s="42">
        <f t="shared" si="3"/>
        <v>-6</v>
      </c>
      <c r="AI26" s="43">
        <f t="shared" si="4"/>
        <v>0.01</v>
      </c>
      <c r="AJ26" s="2"/>
      <c r="AK26" s="2"/>
      <c r="AL26" s="3"/>
      <c r="AM26" s="1"/>
      <c r="AN26" s="3"/>
      <c r="AO26" s="2"/>
      <c r="AP26" s="4"/>
      <c r="AQ26" s="2"/>
      <c r="AR26" s="5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17"/>
      <c r="B27" s="117"/>
      <c r="C27" s="117"/>
      <c r="D27" s="117"/>
      <c r="E27" s="117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AA27" s="1"/>
      <c r="AB27" s="1"/>
      <c r="AC27" s="31"/>
      <c r="AD27" s="32"/>
      <c r="AE27" s="33">
        <f t="shared" si="1"/>
        <v>19</v>
      </c>
      <c r="AF27" s="41">
        <f t="shared" si="2"/>
        <v>-6</v>
      </c>
      <c r="AG27" s="42">
        <f t="shared" si="0"/>
        <v>0</v>
      </c>
      <c r="AH27" s="42">
        <f t="shared" si="3"/>
        <v>-6</v>
      </c>
      <c r="AI27" s="43">
        <f t="shared" si="4"/>
        <v>0.01</v>
      </c>
      <c r="AJ27" s="2"/>
      <c r="AK27" s="2"/>
      <c r="AL27" s="3"/>
      <c r="AM27" s="1"/>
      <c r="AN27" s="3"/>
      <c r="AO27" s="2"/>
      <c r="AP27" s="4"/>
      <c r="AQ27" s="2"/>
      <c r="AR27" s="5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17"/>
      <c r="B28" s="117"/>
      <c r="C28" s="117"/>
      <c r="D28" s="117"/>
      <c r="E28" s="117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AA28" s="1"/>
      <c r="AB28" s="1"/>
      <c r="AC28" s="31"/>
      <c r="AD28" s="32"/>
      <c r="AE28" s="33">
        <f t="shared" si="1"/>
        <v>19</v>
      </c>
      <c r="AF28" s="41">
        <f t="shared" si="2"/>
        <v>-6</v>
      </c>
      <c r="AG28" s="42">
        <f t="shared" si="0"/>
        <v>0</v>
      </c>
      <c r="AH28" s="42">
        <f t="shared" si="3"/>
        <v>-6</v>
      </c>
      <c r="AI28" s="43">
        <f t="shared" si="4"/>
        <v>0.01</v>
      </c>
      <c r="AJ28" s="2"/>
      <c r="AK28" s="2"/>
      <c r="AL28" s="3"/>
      <c r="AM28" s="1"/>
      <c r="AN28" s="3"/>
      <c r="AO28" s="2"/>
      <c r="AP28" s="4"/>
      <c r="AQ28" s="2"/>
      <c r="AR28" s="5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17"/>
      <c r="B29" s="117"/>
      <c r="C29" s="117"/>
      <c r="D29" s="117"/>
      <c r="E29" s="117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AA29" s="1"/>
      <c r="AB29" s="1"/>
      <c r="AC29" s="31"/>
      <c r="AD29" s="32"/>
      <c r="AE29" s="33">
        <f t="shared" si="1"/>
        <v>19</v>
      </c>
      <c r="AF29" s="41">
        <f t="shared" si="2"/>
        <v>-6</v>
      </c>
      <c r="AG29" s="42">
        <f t="shared" si="0"/>
        <v>0</v>
      </c>
      <c r="AH29" s="42">
        <f t="shared" si="3"/>
        <v>-6</v>
      </c>
      <c r="AI29" s="43">
        <f t="shared" si="4"/>
        <v>0.01</v>
      </c>
      <c r="AJ29" s="2"/>
      <c r="AK29" s="2"/>
      <c r="AL29" s="3"/>
      <c r="AM29" s="1"/>
      <c r="AN29" s="3"/>
      <c r="AO29" s="2"/>
      <c r="AP29" s="4"/>
      <c r="AQ29" s="2"/>
      <c r="AR29" s="5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17"/>
      <c r="B30" s="117"/>
      <c r="C30" s="117"/>
      <c r="D30" s="117"/>
      <c r="E30" s="117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AA30" s="1"/>
      <c r="AB30" s="1"/>
      <c r="AC30" s="31"/>
      <c r="AD30" s="32"/>
      <c r="AE30" s="33">
        <f t="shared" si="1"/>
        <v>19</v>
      </c>
      <c r="AF30" s="41">
        <f t="shared" si="2"/>
        <v>-6</v>
      </c>
      <c r="AG30" s="42">
        <f t="shared" si="0"/>
        <v>0</v>
      </c>
      <c r="AH30" s="42">
        <f t="shared" si="3"/>
        <v>-6</v>
      </c>
      <c r="AI30" s="43">
        <f t="shared" si="4"/>
        <v>0.01</v>
      </c>
      <c r="AJ30" s="2"/>
      <c r="AK30" s="2"/>
      <c r="AL30" s="3"/>
      <c r="AM30" s="1"/>
      <c r="AN30" s="3"/>
      <c r="AO30" s="2"/>
      <c r="AP30" s="4"/>
      <c r="AQ30" s="2"/>
      <c r="AR30" s="5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17"/>
      <c r="B31" s="117"/>
      <c r="C31" s="117"/>
      <c r="D31" s="117"/>
      <c r="E31" s="117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AA31" s="1"/>
      <c r="AB31" s="1"/>
      <c r="AC31" s="31"/>
      <c r="AD31" s="32"/>
      <c r="AE31" s="33">
        <f t="shared" si="1"/>
        <v>19</v>
      </c>
      <c r="AF31" s="41">
        <f t="shared" si="2"/>
        <v>-6</v>
      </c>
      <c r="AG31" s="42">
        <f t="shared" si="0"/>
        <v>0</v>
      </c>
      <c r="AH31" s="42">
        <f t="shared" si="3"/>
        <v>-6</v>
      </c>
      <c r="AI31" s="43">
        <f t="shared" si="4"/>
        <v>0.01</v>
      </c>
      <c r="AJ31" s="2"/>
      <c r="AK31" s="2"/>
      <c r="AL31" s="3"/>
      <c r="AM31" s="1"/>
      <c r="AN31" s="3"/>
      <c r="AO31" s="2"/>
      <c r="AP31" s="4"/>
      <c r="AQ31" s="2"/>
      <c r="AR31" s="5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A32" s="1"/>
      <c r="AB32" s="1"/>
      <c r="AC32" s="31"/>
      <c r="AD32" s="32"/>
      <c r="AE32" s="33">
        <f t="shared" si="1"/>
        <v>19</v>
      </c>
      <c r="AF32" s="41">
        <f t="shared" si="2"/>
        <v>-6</v>
      </c>
      <c r="AG32" s="42">
        <f t="shared" si="0"/>
        <v>0</v>
      </c>
      <c r="AH32" s="42">
        <f t="shared" si="3"/>
        <v>-6</v>
      </c>
      <c r="AI32" s="43">
        <f t="shared" si="4"/>
        <v>0.01</v>
      </c>
      <c r="AJ32" s="2"/>
      <c r="AK32" s="2"/>
      <c r="AL32" s="3"/>
      <c r="AM32" s="1"/>
      <c r="AN32" s="3"/>
      <c r="AO32" s="2"/>
      <c r="AP32" s="4"/>
      <c r="AQ32" s="2"/>
      <c r="AR32" s="5"/>
      <c r="AS32" s="1"/>
      <c r="AT32" s="1"/>
      <c r="AU32" s="1"/>
      <c r="AV32" s="1"/>
      <c r="AW32" s="1"/>
      <c r="AX32" s="1"/>
      <c r="AY32" s="1"/>
      <c r="AZ32" s="1"/>
    </row>
    <row r="33" spans="27:52" x14ac:dyDescent="0.25">
      <c r="AA33" s="1"/>
      <c r="AB33" s="1"/>
      <c r="AC33" s="31"/>
      <c r="AD33" s="32"/>
      <c r="AE33" s="33">
        <f t="shared" si="1"/>
        <v>19</v>
      </c>
      <c r="AF33" s="41">
        <f t="shared" si="2"/>
        <v>-6</v>
      </c>
      <c r="AG33" s="42">
        <f t="shared" si="0"/>
        <v>0</v>
      </c>
      <c r="AH33" s="42">
        <f t="shared" si="3"/>
        <v>-6</v>
      </c>
      <c r="AI33" s="43">
        <f t="shared" si="4"/>
        <v>0.01</v>
      </c>
      <c r="AJ33" s="2"/>
      <c r="AK33" s="2"/>
      <c r="AL33" s="3"/>
      <c r="AM33" s="1"/>
      <c r="AN33" s="3"/>
      <c r="AO33" s="2"/>
      <c r="AP33" s="4"/>
      <c r="AQ33" s="2"/>
      <c r="AR33" s="5"/>
      <c r="AS33" s="1"/>
      <c r="AT33" s="1"/>
      <c r="AU33" s="1"/>
      <c r="AV33" s="1"/>
      <c r="AW33" s="1"/>
      <c r="AX33" s="1"/>
      <c r="AY33" s="1"/>
      <c r="AZ33" s="1"/>
    </row>
    <row r="34" spans="27:52" x14ac:dyDescent="0.25">
      <c r="AA34" s="1"/>
      <c r="AB34" s="1"/>
      <c r="AC34" s="31"/>
      <c r="AD34" s="32"/>
      <c r="AE34" s="33">
        <f t="shared" si="1"/>
        <v>19</v>
      </c>
      <c r="AF34" s="41">
        <f t="shared" si="2"/>
        <v>-6</v>
      </c>
      <c r="AG34" s="42">
        <f t="shared" si="0"/>
        <v>0</v>
      </c>
      <c r="AH34" s="42">
        <f t="shared" si="3"/>
        <v>-6</v>
      </c>
      <c r="AI34" s="43">
        <f t="shared" si="4"/>
        <v>0.01</v>
      </c>
      <c r="AJ34" s="2"/>
      <c r="AK34" s="2"/>
      <c r="AL34" s="3"/>
      <c r="AM34" s="1"/>
      <c r="AN34" s="3"/>
      <c r="AO34" s="2"/>
      <c r="AP34" s="4"/>
      <c r="AQ34" s="2"/>
      <c r="AR34" s="5"/>
      <c r="AS34" s="1"/>
      <c r="AT34" s="1"/>
      <c r="AU34" s="1"/>
      <c r="AV34" s="1"/>
      <c r="AW34" s="1"/>
      <c r="AX34" s="1"/>
      <c r="AY34" s="1"/>
      <c r="AZ34" s="1"/>
    </row>
    <row r="35" spans="27:52" x14ac:dyDescent="0.25">
      <c r="AA35" s="1"/>
      <c r="AB35" s="1"/>
      <c r="AC35" s="31"/>
      <c r="AD35" s="32"/>
      <c r="AE35" s="33">
        <f t="shared" si="1"/>
        <v>19</v>
      </c>
      <c r="AF35" s="41">
        <f t="shared" si="2"/>
        <v>-6</v>
      </c>
      <c r="AG35" s="42">
        <f t="shared" si="0"/>
        <v>0</v>
      </c>
      <c r="AH35" s="42">
        <f t="shared" si="3"/>
        <v>-6</v>
      </c>
      <c r="AI35" s="43">
        <f t="shared" si="4"/>
        <v>0.01</v>
      </c>
      <c r="AJ35" s="2"/>
      <c r="AK35" s="2"/>
      <c r="AL35" s="3"/>
      <c r="AM35" s="1"/>
      <c r="AN35" s="3"/>
      <c r="AO35" s="2"/>
      <c r="AP35" s="4"/>
      <c r="AQ35" s="2"/>
      <c r="AR35" s="5"/>
      <c r="AS35" s="1"/>
      <c r="AT35" s="1"/>
      <c r="AU35" s="1"/>
      <c r="AV35" s="1"/>
      <c r="AW35" s="1"/>
      <c r="AX35" s="1"/>
      <c r="AY35" s="1"/>
      <c r="AZ35" s="1"/>
    </row>
    <row r="36" spans="27:52" x14ac:dyDescent="0.25">
      <c r="AA36" s="1"/>
      <c r="AB36" s="1"/>
      <c r="AC36" s="31"/>
      <c r="AD36" s="32"/>
      <c r="AE36" s="33">
        <f t="shared" si="1"/>
        <v>19</v>
      </c>
      <c r="AF36" s="41">
        <f t="shared" si="2"/>
        <v>-6</v>
      </c>
      <c r="AG36" s="42">
        <f t="shared" si="0"/>
        <v>0</v>
      </c>
      <c r="AH36" s="42">
        <f t="shared" si="3"/>
        <v>-6</v>
      </c>
      <c r="AI36" s="43">
        <f t="shared" si="4"/>
        <v>0.01</v>
      </c>
      <c r="AJ36" s="2"/>
      <c r="AK36" s="2"/>
      <c r="AL36" s="3"/>
      <c r="AM36" s="1"/>
      <c r="AN36" s="3"/>
      <c r="AO36" s="2"/>
      <c r="AP36" s="4"/>
      <c r="AQ36" s="2"/>
      <c r="AR36" s="5"/>
      <c r="AS36" s="1"/>
      <c r="AT36" s="1"/>
      <c r="AU36" s="1"/>
      <c r="AV36" s="1"/>
      <c r="AW36" s="1"/>
      <c r="AX36" s="1"/>
      <c r="AY36" s="1"/>
      <c r="AZ36" s="1"/>
    </row>
    <row r="37" spans="27:52" x14ac:dyDescent="0.25">
      <c r="AA37" s="1"/>
      <c r="AB37" s="1"/>
      <c r="AC37" s="31"/>
      <c r="AD37" s="32"/>
      <c r="AE37" s="33">
        <f t="shared" si="1"/>
        <v>19</v>
      </c>
      <c r="AF37" s="41">
        <f t="shared" si="2"/>
        <v>-6</v>
      </c>
      <c r="AG37" s="42">
        <f t="shared" si="0"/>
        <v>0</v>
      </c>
      <c r="AH37" s="42">
        <f t="shared" si="3"/>
        <v>-6</v>
      </c>
      <c r="AI37" s="43">
        <f t="shared" si="4"/>
        <v>0.01</v>
      </c>
      <c r="AJ37" s="2"/>
      <c r="AK37" s="2"/>
      <c r="AL37" s="3"/>
      <c r="AM37" s="1"/>
      <c r="AN37" s="3"/>
      <c r="AO37" s="2"/>
      <c r="AP37" s="4"/>
      <c r="AQ37" s="2"/>
      <c r="AR37" s="5"/>
      <c r="AS37" s="1"/>
      <c r="AT37" s="1"/>
      <c r="AU37" s="1"/>
      <c r="AV37" s="1"/>
      <c r="AW37" s="1"/>
      <c r="AX37" s="1"/>
      <c r="AY37" s="1"/>
      <c r="AZ37" s="1"/>
    </row>
    <row r="38" spans="27:52" x14ac:dyDescent="0.25">
      <c r="AA38" s="1"/>
      <c r="AB38" s="1"/>
      <c r="AC38" s="31"/>
      <c r="AD38" s="32"/>
      <c r="AE38" s="33">
        <f t="shared" si="1"/>
        <v>19</v>
      </c>
      <c r="AF38" s="41">
        <f t="shared" si="2"/>
        <v>-6</v>
      </c>
      <c r="AG38" s="42">
        <f t="shared" si="0"/>
        <v>0</v>
      </c>
      <c r="AH38" s="42">
        <f t="shared" si="3"/>
        <v>-6</v>
      </c>
      <c r="AI38" s="43">
        <f t="shared" si="4"/>
        <v>0.01</v>
      </c>
      <c r="AJ38" s="2"/>
      <c r="AK38" s="2"/>
      <c r="AL38" s="3"/>
      <c r="AM38" s="1"/>
      <c r="AN38" s="3"/>
      <c r="AO38" s="2"/>
      <c r="AP38" s="4"/>
      <c r="AQ38" s="2"/>
      <c r="AR38" s="5"/>
      <c r="AS38" s="1"/>
      <c r="AT38" s="1"/>
      <c r="AU38" s="1"/>
      <c r="AV38" s="1"/>
      <c r="AW38" s="1"/>
      <c r="AX38" s="1"/>
      <c r="AY38" s="1"/>
      <c r="AZ38" s="1"/>
    </row>
    <row r="39" spans="27:52" x14ac:dyDescent="0.25">
      <c r="AA39" s="1"/>
      <c r="AB39" s="1"/>
      <c r="AC39" s="31"/>
      <c r="AD39" s="32"/>
      <c r="AE39" s="33">
        <f t="shared" si="1"/>
        <v>19</v>
      </c>
      <c r="AF39" s="41">
        <f t="shared" si="2"/>
        <v>-6</v>
      </c>
      <c r="AG39" s="42">
        <f t="shared" si="0"/>
        <v>0</v>
      </c>
      <c r="AH39" s="42">
        <f t="shared" si="3"/>
        <v>-6</v>
      </c>
      <c r="AI39" s="43">
        <f t="shared" si="4"/>
        <v>0.01</v>
      </c>
      <c r="AJ39" s="2"/>
      <c r="AK39" s="2"/>
      <c r="AL39" s="3"/>
      <c r="AM39" s="1"/>
      <c r="AN39" s="3"/>
      <c r="AO39" s="2"/>
      <c r="AP39" s="4"/>
      <c r="AQ39" s="2"/>
      <c r="AR39" s="5"/>
      <c r="AS39" s="1"/>
      <c r="AT39" s="1"/>
      <c r="AU39" s="1"/>
      <c r="AV39" s="1"/>
      <c r="AW39" s="1"/>
      <c r="AX39" s="1"/>
      <c r="AY39" s="1"/>
      <c r="AZ39" s="1"/>
    </row>
    <row r="40" spans="27:52" x14ac:dyDescent="0.25">
      <c r="AA40" s="1"/>
      <c r="AB40" s="1"/>
      <c r="AC40" s="31"/>
      <c r="AD40" s="32"/>
      <c r="AE40" s="33">
        <f t="shared" si="1"/>
        <v>19</v>
      </c>
      <c r="AF40" s="41">
        <f t="shared" si="2"/>
        <v>-6</v>
      </c>
      <c r="AG40" s="42">
        <f t="shared" si="0"/>
        <v>0</v>
      </c>
      <c r="AH40" s="42">
        <f t="shared" si="3"/>
        <v>-6</v>
      </c>
      <c r="AI40" s="43">
        <f t="shared" si="4"/>
        <v>0.01</v>
      </c>
      <c r="AJ40" s="2"/>
      <c r="AK40" s="2"/>
      <c r="AL40" s="3"/>
      <c r="AM40" s="1"/>
      <c r="AN40" s="3"/>
      <c r="AO40" s="2"/>
      <c r="AP40" s="4"/>
      <c r="AQ40" s="2"/>
      <c r="AR40" s="5"/>
      <c r="AS40" s="1"/>
      <c r="AT40" s="1"/>
      <c r="AU40" s="1"/>
      <c r="AV40" s="1"/>
      <c r="AW40" s="1"/>
      <c r="AX40" s="1"/>
      <c r="AY40" s="1"/>
      <c r="AZ40" s="1"/>
    </row>
    <row r="41" spans="27:52" x14ac:dyDescent="0.25">
      <c r="AA41" s="1"/>
      <c r="AB41" s="1"/>
      <c r="AC41" s="31"/>
      <c r="AD41" s="32"/>
      <c r="AE41" s="33">
        <f t="shared" si="1"/>
        <v>19</v>
      </c>
      <c r="AF41" s="41">
        <f t="shared" si="2"/>
        <v>-6</v>
      </c>
      <c r="AG41" s="42">
        <f t="shared" si="0"/>
        <v>0</v>
      </c>
      <c r="AH41" s="42">
        <f t="shared" si="3"/>
        <v>-6</v>
      </c>
      <c r="AI41" s="43">
        <f t="shared" si="4"/>
        <v>0.01</v>
      </c>
      <c r="AJ41" s="2"/>
      <c r="AK41" s="2"/>
      <c r="AL41" s="3"/>
      <c r="AM41" s="1"/>
      <c r="AN41" s="3"/>
      <c r="AO41" s="2"/>
      <c r="AP41" s="4"/>
      <c r="AQ41" s="2"/>
      <c r="AR41" s="5"/>
      <c r="AS41" s="1"/>
      <c r="AT41" s="1"/>
      <c r="AU41" s="1"/>
      <c r="AV41" s="1"/>
      <c r="AW41" s="1"/>
      <c r="AX41" s="1"/>
      <c r="AY41" s="1"/>
      <c r="AZ41" s="1"/>
    </row>
    <row r="42" spans="27:52" x14ac:dyDescent="0.25">
      <c r="AA42" s="1"/>
      <c r="AB42" s="1"/>
      <c r="AC42" s="31"/>
      <c r="AD42" s="32"/>
      <c r="AE42" s="33">
        <f t="shared" si="1"/>
        <v>19</v>
      </c>
      <c r="AF42" s="41">
        <f t="shared" si="2"/>
        <v>-6</v>
      </c>
      <c r="AG42" s="42">
        <f t="shared" si="0"/>
        <v>0</v>
      </c>
      <c r="AH42" s="42">
        <f t="shared" si="3"/>
        <v>-6</v>
      </c>
      <c r="AI42" s="43">
        <f t="shared" si="4"/>
        <v>0.01</v>
      </c>
      <c r="AJ42" s="2"/>
      <c r="AK42" s="2"/>
      <c r="AL42" s="3"/>
      <c r="AM42" s="1"/>
      <c r="AN42" s="3"/>
      <c r="AO42" s="2"/>
      <c r="AP42" s="4"/>
      <c r="AQ42" s="2"/>
      <c r="AR42" s="5"/>
      <c r="AS42" s="1"/>
      <c r="AT42" s="1"/>
      <c r="AU42" s="1"/>
      <c r="AV42" s="1"/>
      <c r="AW42" s="1"/>
      <c r="AX42" s="1"/>
      <c r="AY42" s="1"/>
      <c r="AZ42" s="1"/>
    </row>
    <row r="43" spans="27:52" x14ac:dyDescent="0.25">
      <c r="AA43" s="1"/>
      <c r="AB43" s="1"/>
      <c r="AC43" s="31"/>
      <c r="AD43" s="32"/>
      <c r="AE43" s="33">
        <f t="shared" si="1"/>
        <v>19</v>
      </c>
      <c r="AF43" s="41">
        <f t="shared" si="2"/>
        <v>-6</v>
      </c>
      <c r="AG43" s="42">
        <f t="shared" si="0"/>
        <v>0</v>
      </c>
      <c r="AH43" s="42">
        <f t="shared" si="3"/>
        <v>-6</v>
      </c>
      <c r="AI43" s="43">
        <f t="shared" si="4"/>
        <v>0.01</v>
      </c>
      <c r="AJ43" s="2"/>
      <c r="AK43" s="2"/>
      <c r="AL43" s="3"/>
      <c r="AM43" s="1"/>
      <c r="AN43" s="3"/>
      <c r="AO43" s="2"/>
      <c r="AP43" s="4"/>
      <c r="AQ43" s="2"/>
      <c r="AR43" s="5"/>
      <c r="AS43" s="1"/>
      <c r="AT43" s="1"/>
      <c r="AU43" s="1"/>
      <c r="AV43" s="1"/>
      <c r="AW43" s="1"/>
      <c r="AX43" s="1"/>
      <c r="AY43" s="1"/>
      <c r="AZ43" s="1"/>
    </row>
    <row r="44" spans="27:52" x14ac:dyDescent="0.25">
      <c r="AA44" s="1"/>
      <c r="AB44" s="1"/>
      <c r="AC44" s="31"/>
      <c r="AD44" s="32"/>
      <c r="AE44" s="33">
        <f t="shared" si="1"/>
        <v>19</v>
      </c>
      <c r="AF44" s="41">
        <f t="shared" si="2"/>
        <v>-6</v>
      </c>
      <c r="AG44" s="42">
        <f t="shared" si="0"/>
        <v>0</v>
      </c>
      <c r="AH44" s="42">
        <f t="shared" si="3"/>
        <v>-6</v>
      </c>
      <c r="AI44" s="43">
        <f t="shared" si="4"/>
        <v>0.01</v>
      </c>
      <c r="AJ44" s="2"/>
      <c r="AK44" s="2"/>
      <c r="AL44" s="3"/>
      <c r="AM44" s="1"/>
      <c r="AN44" s="3"/>
      <c r="AO44" s="2"/>
      <c r="AP44" s="4"/>
      <c r="AQ44" s="2"/>
      <c r="AR44" s="5"/>
      <c r="AS44" s="1"/>
      <c r="AT44" s="1"/>
      <c r="AU44" s="1"/>
      <c r="AV44" s="1"/>
      <c r="AW44" s="1"/>
      <c r="AX44" s="1"/>
      <c r="AY44" s="1"/>
      <c r="AZ44" s="1"/>
    </row>
    <row r="45" spans="27:52" x14ac:dyDescent="0.25">
      <c r="AA45" s="1"/>
      <c r="AB45" s="1"/>
      <c r="AC45" s="31"/>
      <c r="AD45" s="32"/>
      <c r="AE45" s="33">
        <f t="shared" si="1"/>
        <v>19</v>
      </c>
      <c r="AF45" s="41">
        <f t="shared" si="2"/>
        <v>-6</v>
      </c>
      <c r="AG45" s="42">
        <f t="shared" si="0"/>
        <v>0</v>
      </c>
      <c r="AH45" s="42">
        <f t="shared" si="3"/>
        <v>-6</v>
      </c>
      <c r="AI45" s="43">
        <f t="shared" si="4"/>
        <v>0.01</v>
      </c>
      <c r="AJ45" s="2"/>
      <c r="AK45" s="2"/>
      <c r="AL45" s="3"/>
      <c r="AM45" s="1"/>
      <c r="AN45" s="3"/>
      <c r="AO45" s="2"/>
      <c r="AP45" s="4"/>
      <c r="AQ45" s="2"/>
      <c r="AR45" s="5"/>
      <c r="AS45" s="1"/>
      <c r="AT45" s="1"/>
      <c r="AU45" s="1"/>
      <c r="AV45" s="1"/>
      <c r="AW45" s="1"/>
      <c r="AX45" s="1"/>
      <c r="AY45" s="1"/>
      <c r="AZ45" s="1"/>
    </row>
    <row r="46" spans="27:52" x14ac:dyDescent="0.25">
      <c r="AA46" s="1"/>
      <c r="AB46" s="1"/>
      <c r="AC46" s="31"/>
      <c r="AD46" s="32"/>
      <c r="AE46" s="33">
        <f t="shared" si="1"/>
        <v>19</v>
      </c>
      <c r="AF46" s="41">
        <f t="shared" si="2"/>
        <v>-6</v>
      </c>
      <c r="AG46" s="42">
        <f t="shared" si="0"/>
        <v>0</v>
      </c>
      <c r="AH46" s="42">
        <f t="shared" si="3"/>
        <v>-6</v>
      </c>
      <c r="AI46" s="43">
        <f t="shared" si="4"/>
        <v>0.01</v>
      </c>
      <c r="AJ46" s="2"/>
      <c r="AK46" s="2"/>
      <c r="AL46" s="3"/>
      <c r="AM46" s="1"/>
      <c r="AN46" s="3"/>
      <c r="AO46" s="2"/>
      <c r="AP46" s="4"/>
      <c r="AQ46" s="2"/>
      <c r="AR46" s="5"/>
      <c r="AS46" s="1"/>
      <c r="AT46" s="1"/>
      <c r="AU46" s="1"/>
      <c r="AV46" s="1"/>
      <c r="AW46" s="1"/>
      <c r="AX46" s="1"/>
      <c r="AY46" s="1"/>
      <c r="AZ46" s="1"/>
    </row>
    <row r="47" spans="27:52" x14ac:dyDescent="0.25">
      <c r="AA47" s="1"/>
      <c r="AB47" s="1"/>
      <c r="AC47" s="31"/>
      <c r="AD47" s="32"/>
      <c r="AE47" s="33">
        <f t="shared" si="1"/>
        <v>19</v>
      </c>
      <c r="AF47" s="41">
        <f t="shared" si="2"/>
        <v>-6</v>
      </c>
      <c r="AG47" s="42">
        <f t="shared" si="0"/>
        <v>0</v>
      </c>
      <c r="AH47" s="42">
        <f t="shared" si="3"/>
        <v>-6</v>
      </c>
      <c r="AI47" s="43">
        <f t="shared" si="4"/>
        <v>0.01</v>
      </c>
      <c r="AJ47" s="2"/>
      <c r="AK47" s="2"/>
      <c r="AL47" s="3"/>
      <c r="AM47" s="1"/>
      <c r="AN47" s="3"/>
      <c r="AO47" s="2"/>
      <c r="AP47" s="4"/>
      <c r="AQ47" s="2"/>
      <c r="AR47" s="5"/>
      <c r="AS47" s="1"/>
      <c r="AT47" s="1"/>
      <c r="AU47" s="1"/>
      <c r="AV47" s="1"/>
      <c r="AW47" s="1"/>
      <c r="AX47" s="1"/>
      <c r="AY47" s="1"/>
      <c r="AZ47" s="1"/>
    </row>
    <row r="48" spans="27:52" x14ac:dyDescent="0.25">
      <c r="AA48" s="1"/>
      <c r="AB48" s="1"/>
      <c r="AC48" s="31"/>
      <c r="AD48" s="32"/>
      <c r="AE48" s="33">
        <f t="shared" si="1"/>
        <v>19</v>
      </c>
      <c r="AF48" s="41">
        <f t="shared" si="2"/>
        <v>-6</v>
      </c>
      <c r="AG48" s="42">
        <f t="shared" si="0"/>
        <v>0</v>
      </c>
      <c r="AH48" s="42">
        <f t="shared" si="3"/>
        <v>-6</v>
      </c>
      <c r="AI48" s="43">
        <f t="shared" si="4"/>
        <v>0.01</v>
      </c>
      <c r="AJ48" s="2"/>
      <c r="AK48" s="2"/>
      <c r="AL48" s="3"/>
      <c r="AM48" s="1"/>
      <c r="AN48" s="3"/>
      <c r="AO48" s="2"/>
      <c r="AP48" s="4"/>
      <c r="AQ48" s="2"/>
      <c r="AR48" s="5"/>
      <c r="AS48" s="1"/>
      <c r="AT48" s="1"/>
      <c r="AU48" s="1"/>
      <c r="AV48" s="1"/>
      <c r="AW48" s="1"/>
      <c r="AX48" s="1"/>
      <c r="AY48" s="1"/>
      <c r="AZ48" s="1"/>
    </row>
    <row r="49" spans="27:52" x14ac:dyDescent="0.25">
      <c r="AA49" s="1"/>
      <c r="AB49" s="1"/>
      <c r="AC49" s="31"/>
      <c r="AD49" s="32"/>
      <c r="AE49" s="33">
        <f t="shared" si="1"/>
        <v>19</v>
      </c>
      <c r="AF49" s="41">
        <f t="shared" si="2"/>
        <v>-6</v>
      </c>
      <c r="AG49" s="42">
        <f t="shared" si="0"/>
        <v>0</v>
      </c>
      <c r="AH49" s="42">
        <f t="shared" si="3"/>
        <v>-6</v>
      </c>
      <c r="AI49" s="43">
        <f t="shared" si="4"/>
        <v>0.01</v>
      </c>
      <c r="AJ49" s="2"/>
      <c r="AK49" s="2"/>
      <c r="AL49" s="3"/>
      <c r="AM49" s="1"/>
      <c r="AN49" s="3"/>
      <c r="AO49" s="2"/>
      <c r="AP49" s="4"/>
      <c r="AQ49" s="2"/>
      <c r="AR49" s="5"/>
      <c r="AS49" s="1"/>
      <c r="AT49" s="1"/>
      <c r="AU49" s="1"/>
      <c r="AV49" s="1"/>
      <c r="AW49" s="1"/>
      <c r="AX49" s="1"/>
      <c r="AY49" s="1"/>
      <c r="AZ49" s="1"/>
    </row>
    <row r="50" spans="27:52" x14ac:dyDescent="0.25">
      <c r="AA50" s="1"/>
      <c r="AB50" s="1"/>
      <c r="AC50" s="31"/>
      <c r="AD50" s="32"/>
      <c r="AE50" s="33">
        <f t="shared" si="1"/>
        <v>19</v>
      </c>
      <c r="AF50" s="41">
        <f t="shared" si="2"/>
        <v>-6</v>
      </c>
      <c r="AG50" s="42">
        <f t="shared" si="0"/>
        <v>0</v>
      </c>
      <c r="AH50" s="42">
        <f t="shared" si="3"/>
        <v>-6</v>
      </c>
      <c r="AI50" s="43">
        <f t="shared" si="4"/>
        <v>0.01</v>
      </c>
      <c r="AJ50" s="2"/>
      <c r="AK50" s="2"/>
      <c r="AL50" s="3"/>
      <c r="AM50" s="1"/>
      <c r="AN50" s="3"/>
      <c r="AO50" s="2"/>
      <c r="AP50" s="4"/>
      <c r="AQ50" s="2"/>
      <c r="AR50" s="5"/>
      <c r="AS50" s="1"/>
      <c r="AT50" s="1"/>
      <c r="AU50" s="1"/>
      <c r="AV50" s="1"/>
      <c r="AW50" s="1"/>
      <c r="AX50" s="1"/>
      <c r="AY50" s="1"/>
      <c r="AZ50" s="1"/>
    </row>
    <row r="51" spans="27:52" x14ac:dyDescent="0.25">
      <c r="AA51" s="1"/>
      <c r="AB51" s="1"/>
      <c r="AC51" s="31"/>
      <c r="AD51" s="32"/>
      <c r="AE51" s="33">
        <f t="shared" si="1"/>
        <v>19</v>
      </c>
      <c r="AF51" s="41">
        <f t="shared" si="2"/>
        <v>-6</v>
      </c>
      <c r="AG51" s="42">
        <f t="shared" si="0"/>
        <v>0</v>
      </c>
      <c r="AH51" s="42">
        <f t="shared" si="3"/>
        <v>-6</v>
      </c>
      <c r="AI51" s="43">
        <f t="shared" si="4"/>
        <v>0.01</v>
      </c>
      <c r="AJ51" s="2"/>
      <c r="AK51" s="2"/>
      <c r="AL51" s="3"/>
      <c r="AM51" s="1"/>
      <c r="AN51" s="3"/>
      <c r="AO51" s="2"/>
      <c r="AP51" s="4"/>
      <c r="AQ51" s="2"/>
      <c r="AR51" s="5"/>
      <c r="AS51" s="1"/>
      <c r="AT51" s="1"/>
      <c r="AU51" s="1"/>
      <c r="AV51" s="1"/>
      <c r="AW51" s="1"/>
      <c r="AX51" s="1"/>
      <c r="AY51" s="1"/>
      <c r="AZ51" s="1"/>
    </row>
    <row r="52" spans="27:52" x14ac:dyDescent="0.25">
      <c r="AA52" s="1"/>
      <c r="AB52" s="1"/>
      <c r="AC52" s="31"/>
      <c r="AD52" s="32"/>
      <c r="AE52" s="33">
        <f t="shared" si="1"/>
        <v>19</v>
      </c>
      <c r="AF52" s="41">
        <f t="shared" si="2"/>
        <v>-6</v>
      </c>
      <c r="AG52" s="42">
        <f t="shared" si="0"/>
        <v>0</v>
      </c>
      <c r="AH52" s="42">
        <f t="shared" si="3"/>
        <v>-6</v>
      </c>
      <c r="AI52" s="43">
        <f t="shared" si="4"/>
        <v>0.01</v>
      </c>
      <c r="AJ52" s="2"/>
      <c r="AK52" s="2"/>
      <c r="AL52" s="3"/>
      <c r="AM52" s="1"/>
      <c r="AN52" s="3"/>
      <c r="AO52" s="2"/>
      <c r="AP52" s="4"/>
      <c r="AQ52" s="2"/>
      <c r="AR52" s="5"/>
      <c r="AS52" s="1"/>
      <c r="AT52" s="1"/>
      <c r="AU52" s="1"/>
      <c r="AV52" s="1"/>
      <c r="AW52" s="1"/>
      <c r="AX52" s="1"/>
      <c r="AY52" s="1"/>
      <c r="AZ52" s="1"/>
    </row>
    <row r="53" spans="27:52" x14ac:dyDescent="0.25">
      <c r="AA53" s="1"/>
      <c r="AB53" s="1"/>
      <c r="AC53" s="31"/>
      <c r="AD53" s="32"/>
      <c r="AE53" s="33">
        <f t="shared" si="1"/>
        <v>19</v>
      </c>
      <c r="AF53" s="41">
        <f t="shared" si="2"/>
        <v>-6</v>
      </c>
      <c r="AG53" s="42">
        <f t="shared" si="0"/>
        <v>0</v>
      </c>
      <c r="AH53" s="42">
        <f t="shared" si="3"/>
        <v>-6</v>
      </c>
      <c r="AI53" s="43">
        <f t="shared" si="4"/>
        <v>0.01</v>
      </c>
      <c r="AJ53" s="2"/>
      <c r="AK53" s="2"/>
      <c r="AL53" s="3"/>
      <c r="AM53" s="1"/>
      <c r="AN53" s="3"/>
      <c r="AO53" s="2"/>
      <c r="AP53" s="4"/>
      <c r="AQ53" s="2"/>
      <c r="AR53" s="5"/>
      <c r="AS53" s="1"/>
      <c r="AT53" s="1"/>
      <c r="AU53" s="1"/>
      <c r="AV53" s="1"/>
      <c r="AW53" s="1"/>
      <c r="AX53" s="1"/>
      <c r="AY53" s="1"/>
      <c r="AZ53" s="1"/>
    </row>
    <row r="54" spans="27:52" x14ac:dyDescent="0.25">
      <c r="AA54" s="1"/>
      <c r="AB54" s="1"/>
      <c r="AC54" s="31"/>
      <c r="AD54" s="32"/>
      <c r="AE54" s="33">
        <f t="shared" si="1"/>
        <v>19</v>
      </c>
      <c r="AF54" s="41">
        <f t="shared" si="2"/>
        <v>-6</v>
      </c>
      <c r="AG54" s="42">
        <f t="shared" si="0"/>
        <v>0</v>
      </c>
      <c r="AH54" s="42">
        <f t="shared" si="3"/>
        <v>-6</v>
      </c>
      <c r="AI54" s="43">
        <f t="shared" si="4"/>
        <v>0.01</v>
      </c>
      <c r="AJ54" s="2"/>
      <c r="AK54" s="2"/>
      <c r="AL54" s="3"/>
      <c r="AM54" s="1"/>
      <c r="AN54" s="3"/>
      <c r="AO54" s="2"/>
      <c r="AP54" s="4"/>
      <c r="AQ54" s="2"/>
      <c r="AR54" s="5"/>
      <c r="AS54" s="1"/>
      <c r="AT54" s="1"/>
      <c r="AU54" s="1"/>
      <c r="AV54" s="1"/>
      <c r="AW54" s="1"/>
      <c r="AX54" s="1"/>
      <c r="AY54" s="1"/>
      <c r="AZ54" s="1"/>
    </row>
    <row r="55" spans="27:52" x14ac:dyDescent="0.25">
      <c r="AA55" s="1"/>
      <c r="AB55" s="1"/>
      <c r="AC55" s="31"/>
      <c r="AD55" s="32"/>
      <c r="AE55" s="33">
        <f t="shared" si="1"/>
        <v>19</v>
      </c>
      <c r="AF55" s="41">
        <f t="shared" si="2"/>
        <v>-6</v>
      </c>
      <c r="AG55" s="42">
        <f t="shared" si="0"/>
        <v>0</v>
      </c>
      <c r="AH55" s="42">
        <f t="shared" si="3"/>
        <v>-6</v>
      </c>
      <c r="AI55" s="43">
        <f t="shared" si="4"/>
        <v>0.01</v>
      </c>
      <c r="AJ55" s="2"/>
      <c r="AK55" s="2"/>
      <c r="AL55" s="3"/>
      <c r="AM55" s="1"/>
      <c r="AN55" s="3"/>
      <c r="AO55" s="2"/>
      <c r="AP55" s="4"/>
      <c r="AQ55" s="2"/>
      <c r="AR55" s="5"/>
      <c r="AS55" s="1"/>
      <c r="AT55" s="1"/>
      <c r="AU55" s="1"/>
      <c r="AV55" s="1"/>
      <c r="AW55" s="1"/>
      <c r="AX55" s="1"/>
      <c r="AY55" s="1"/>
      <c r="AZ55" s="1"/>
    </row>
    <row r="56" spans="27:52" x14ac:dyDescent="0.25">
      <c r="AA56" s="1"/>
      <c r="AB56" s="1"/>
      <c r="AC56" s="31"/>
      <c r="AD56" s="32"/>
      <c r="AE56" s="33">
        <f t="shared" si="1"/>
        <v>19</v>
      </c>
      <c r="AF56" s="41">
        <f t="shared" si="2"/>
        <v>-6</v>
      </c>
      <c r="AG56" s="42">
        <f t="shared" si="0"/>
        <v>0</v>
      </c>
      <c r="AH56" s="42">
        <f t="shared" si="3"/>
        <v>-6</v>
      </c>
      <c r="AI56" s="43">
        <f t="shared" si="4"/>
        <v>0.01</v>
      </c>
      <c r="AJ56" s="2"/>
      <c r="AK56" s="2"/>
      <c r="AL56" s="3"/>
      <c r="AM56" s="1"/>
      <c r="AN56" s="3"/>
      <c r="AO56" s="2"/>
      <c r="AP56" s="4"/>
      <c r="AQ56" s="2"/>
      <c r="AR56" s="5"/>
      <c r="AS56" s="1"/>
      <c r="AT56" s="1"/>
      <c r="AU56" s="1"/>
      <c r="AV56" s="1"/>
      <c r="AW56" s="1"/>
      <c r="AX56" s="1"/>
      <c r="AY56" s="1"/>
      <c r="AZ56" s="1"/>
    </row>
    <row r="57" spans="27:52" x14ac:dyDescent="0.25">
      <c r="AA57" s="1"/>
      <c r="AB57" s="1"/>
      <c r="AC57" s="31"/>
      <c r="AD57" s="32"/>
      <c r="AE57" s="33">
        <f t="shared" si="1"/>
        <v>19</v>
      </c>
      <c r="AF57" s="41">
        <f t="shared" si="2"/>
        <v>-6</v>
      </c>
      <c r="AG57" s="42">
        <f t="shared" si="0"/>
        <v>0</v>
      </c>
      <c r="AH57" s="42">
        <f t="shared" si="3"/>
        <v>-6</v>
      </c>
      <c r="AI57" s="43">
        <f t="shared" si="4"/>
        <v>0.01</v>
      </c>
      <c r="AJ57" s="2"/>
      <c r="AK57" s="2"/>
      <c r="AL57" s="3"/>
      <c r="AM57" s="1"/>
      <c r="AN57" s="3"/>
      <c r="AO57" s="2"/>
      <c r="AP57" s="4"/>
      <c r="AQ57" s="2"/>
      <c r="AR57" s="5"/>
      <c r="AS57" s="1"/>
      <c r="AT57" s="1"/>
      <c r="AU57" s="1"/>
      <c r="AV57" s="1"/>
      <c r="AW57" s="1"/>
      <c r="AX57" s="1"/>
      <c r="AY57" s="1"/>
      <c r="AZ57" s="1"/>
    </row>
    <row r="58" spans="27:52" x14ac:dyDescent="0.25">
      <c r="AA58" s="1"/>
      <c r="AB58" s="1"/>
      <c r="AC58" s="31"/>
      <c r="AD58" s="32"/>
      <c r="AE58" s="33">
        <f t="shared" si="1"/>
        <v>19</v>
      </c>
      <c r="AF58" s="41">
        <f t="shared" si="2"/>
        <v>-6</v>
      </c>
      <c r="AG58" s="42">
        <f t="shared" si="0"/>
        <v>0</v>
      </c>
      <c r="AH58" s="42">
        <f t="shared" si="3"/>
        <v>-6</v>
      </c>
      <c r="AI58" s="43">
        <f t="shared" si="4"/>
        <v>0.01</v>
      </c>
      <c r="AJ58" s="2"/>
      <c r="AK58" s="2"/>
      <c r="AL58" s="3"/>
      <c r="AM58" s="1"/>
      <c r="AN58" s="3"/>
      <c r="AO58" s="2"/>
      <c r="AP58" s="4"/>
      <c r="AQ58" s="2"/>
      <c r="AR58" s="5"/>
      <c r="AS58" s="1"/>
      <c r="AT58" s="1"/>
      <c r="AU58" s="1"/>
      <c r="AV58" s="1"/>
      <c r="AW58" s="1"/>
      <c r="AX58" s="1"/>
      <c r="AY58" s="1"/>
      <c r="AZ58" s="1"/>
    </row>
    <row r="59" spans="27:52" x14ac:dyDescent="0.25">
      <c r="AA59" s="1"/>
      <c r="AB59" s="1"/>
      <c r="AC59" s="31"/>
      <c r="AD59" s="32"/>
      <c r="AE59" s="33">
        <f t="shared" si="1"/>
        <v>19</v>
      </c>
      <c r="AF59" s="41">
        <f t="shared" si="2"/>
        <v>-6</v>
      </c>
      <c r="AG59" s="42">
        <f t="shared" si="0"/>
        <v>0</v>
      </c>
      <c r="AH59" s="42">
        <f t="shared" si="3"/>
        <v>-6</v>
      </c>
      <c r="AI59" s="43">
        <f t="shared" si="4"/>
        <v>0.01</v>
      </c>
      <c r="AJ59" s="2"/>
      <c r="AK59" s="2"/>
      <c r="AL59" s="3"/>
      <c r="AM59" s="1"/>
      <c r="AN59" s="3"/>
      <c r="AO59" s="2"/>
      <c r="AP59" s="4"/>
      <c r="AQ59" s="2"/>
      <c r="AR59" s="5"/>
      <c r="AS59" s="1"/>
      <c r="AT59" s="1"/>
      <c r="AU59" s="1"/>
      <c r="AV59" s="1"/>
      <c r="AW59" s="1"/>
      <c r="AX59" s="1"/>
      <c r="AY59" s="1"/>
      <c r="AZ59" s="1"/>
    </row>
    <row r="60" spans="27:52" x14ac:dyDescent="0.25">
      <c r="AA60" s="1"/>
      <c r="AB60" s="1"/>
      <c r="AC60" s="31"/>
      <c r="AD60" s="32"/>
      <c r="AE60" s="33">
        <f t="shared" si="1"/>
        <v>19</v>
      </c>
      <c r="AF60" s="41">
        <f t="shared" si="2"/>
        <v>-6</v>
      </c>
      <c r="AG60" s="42">
        <f t="shared" si="0"/>
        <v>0</v>
      </c>
      <c r="AH60" s="42">
        <f t="shared" si="3"/>
        <v>-6</v>
      </c>
      <c r="AI60" s="43">
        <f t="shared" si="4"/>
        <v>0.01</v>
      </c>
      <c r="AJ60" s="2"/>
      <c r="AK60" s="2"/>
      <c r="AL60" s="3"/>
      <c r="AM60" s="1"/>
      <c r="AN60" s="3"/>
      <c r="AO60" s="2"/>
      <c r="AP60" s="4"/>
      <c r="AQ60" s="2"/>
      <c r="AR60" s="5"/>
      <c r="AS60" s="1"/>
      <c r="AT60" s="1"/>
      <c r="AU60" s="1"/>
      <c r="AV60" s="1"/>
      <c r="AW60" s="1"/>
      <c r="AX60" s="1"/>
      <c r="AY60" s="1"/>
      <c r="AZ60" s="1"/>
    </row>
    <row r="61" spans="27:52" x14ac:dyDescent="0.25">
      <c r="AA61" s="1"/>
      <c r="AB61" s="1"/>
      <c r="AC61" s="31"/>
      <c r="AD61" s="32"/>
      <c r="AE61" s="33">
        <f t="shared" si="1"/>
        <v>19</v>
      </c>
      <c r="AF61" s="41">
        <f t="shared" si="2"/>
        <v>-6</v>
      </c>
      <c r="AG61" s="42">
        <f t="shared" si="0"/>
        <v>0</v>
      </c>
      <c r="AH61" s="42">
        <f t="shared" si="3"/>
        <v>-6</v>
      </c>
      <c r="AI61" s="43">
        <f t="shared" si="4"/>
        <v>0.01</v>
      </c>
      <c r="AJ61" s="2"/>
      <c r="AK61" s="2"/>
      <c r="AL61" s="3"/>
      <c r="AM61" s="1"/>
      <c r="AN61" s="3"/>
      <c r="AO61" s="2"/>
      <c r="AP61" s="4"/>
      <c r="AQ61" s="2"/>
      <c r="AR61" s="5"/>
      <c r="AS61" s="1"/>
      <c r="AT61" s="1"/>
      <c r="AU61" s="1"/>
      <c r="AV61" s="1"/>
      <c r="AW61" s="1"/>
      <c r="AX61" s="1"/>
      <c r="AY61" s="1"/>
      <c r="AZ61" s="1"/>
    </row>
    <row r="62" spans="27:52" x14ac:dyDescent="0.25">
      <c r="AA62" s="1"/>
      <c r="AB62" s="1"/>
      <c r="AC62" s="31"/>
      <c r="AD62" s="32"/>
      <c r="AE62" s="33">
        <f t="shared" si="1"/>
        <v>19</v>
      </c>
      <c r="AF62" s="41">
        <f t="shared" si="2"/>
        <v>-6</v>
      </c>
      <c r="AG62" s="42">
        <f t="shared" si="0"/>
        <v>0</v>
      </c>
      <c r="AH62" s="42">
        <f t="shared" si="3"/>
        <v>-6</v>
      </c>
      <c r="AI62" s="43">
        <f t="shared" si="4"/>
        <v>0.01</v>
      </c>
      <c r="AJ62" s="2"/>
      <c r="AK62" s="2"/>
      <c r="AL62" s="3"/>
      <c r="AM62" s="1"/>
      <c r="AN62" s="3"/>
      <c r="AO62" s="2"/>
      <c r="AP62" s="4"/>
      <c r="AQ62" s="2"/>
      <c r="AR62" s="5"/>
      <c r="AS62" s="1"/>
      <c r="AT62" s="1"/>
      <c r="AU62" s="1"/>
      <c r="AV62" s="1"/>
      <c r="AW62" s="1"/>
      <c r="AX62" s="1"/>
      <c r="AY62" s="1"/>
      <c r="AZ62" s="1"/>
    </row>
    <row r="63" spans="27:52" x14ac:dyDescent="0.25">
      <c r="AA63" s="1"/>
      <c r="AB63" s="1"/>
      <c r="AC63" s="31"/>
      <c r="AD63" s="32"/>
      <c r="AE63" s="33">
        <f t="shared" si="1"/>
        <v>19</v>
      </c>
      <c r="AF63" s="41">
        <f t="shared" si="2"/>
        <v>-6</v>
      </c>
      <c r="AG63" s="42">
        <f t="shared" si="0"/>
        <v>0</v>
      </c>
      <c r="AH63" s="42">
        <f t="shared" si="3"/>
        <v>-6</v>
      </c>
      <c r="AI63" s="43">
        <f t="shared" si="4"/>
        <v>0.01</v>
      </c>
      <c r="AJ63" s="2"/>
      <c r="AK63" s="2"/>
      <c r="AL63" s="3"/>
      <c r="AM63" s="1"/>
      <c r="AN63" s="3"/>
      <c r="AO63" s="2"/>
      <c r="AP63" s="4"/>
      <c r="AQ63" s="2"/>
      <c r="AR63" s="5"/>
      <c r="AS63" s="1"/>
      <c r="AT63" s="1"/>
      <c r="AU63" s="1"/>
      <c r="AV63" s="1"/>
      <c r="AW63" s="1"/>
      <c r="AX63" s="1"/>
      <c r="AY63" s="1"/>
      <c r="AZ63" s="1"/>
    </row>
    <row r="64" spans="27:52" x14ac:dyDescent="0.25">
      <c r="AA64" s="1"/>
      <c r="AB64" s="1"/>
      <c r="AC64" s="31"/>
      <c r="AD64" s="32"/>
      <c r="AE64" s="33">
        <f t="shared" si="1"/>
        <v>19</v>
      </c>
      <c r="AF64" s="41">
        <f t="shared" si="2"/>
        <v>-6</v>
      </c>
      <c r="AG64" s="42">
        <f t="shared" si="0"/>
        <v>0</v>
      </c>
      <c r="AH64" s="42">
        <f t="shared" si="3"/>
        <v>-6</v>
      </c>
      <c r="AI64" s="43">
        <f t="shared" si="4"/>
        <v>0.01</v>
      </c>
      <c r="AJ64" s="2"/>
      <c r="AK64" s="2"/>
      <c r="AL64" s="3"/>
      <c r="AM64" s="1"/>
      <c r="AN64" s="3"/>
      <c r="AO64" s="2"/>
      <c r="AP64" s="4"/>
      <c r="AQ64" s="2"/>
      <c r="AR64" s="5"/>
      <c r="AS64" s="1"/>
      <c r="AT64" s="1"/>
      <c r="AU64" s="1"/>
      <c r="AV64" s="1"/>
      <c r="AW64" s="1"/>
      <c r="AX64" s="1"/>
      <c r="AY64" s="1"/>
      <c r="AZ64" s="1"/>
    </row>
    <row r="65" spans="27:52" x14ac:dyDescent="0.25">
      <c r="AA65" s="1"/>
      <c r="AB65" s="1"/>
      <c r="AC65" s="31"/>
      <c r="AD65" s="32"/>
      <c r="AE65" s="33">
        <f t="shared" si="1"/>
        <v>19</v>
      </c>
      <c r="AF65" s="41">
        <f t="shared" si="2"/>
        <v>-6</v>
      </c>
      <c r="AG65" s="42">
        <f t="shared" si="0"/>
        <v>0</v>
      </c>
      <c r="AH65" s="42">
        <f t="shared" si="3"/>
        <v>-6</v>
      </c>
      <c r="AI65" s="43">
        <f t="shared" si="4"/>
        <v>0.01</v>
      </c>
      <c r="AJ65" s="2"/>
      <c r="AK65" s="2"/>
      <c r="AL65" s="3"/>
      <c r="AM65" s="1"/>
      <c r="AN65" s="3"/>
      <c r="AO65" s="2"/>
      <c r="AP65" s="4"/>
      <c r="AQ65" s="2"/>
      <c r="AR65" s="5"/>
      <c r="AS65" s="1"/>
      <c r="AT65" s="1"/>
      <c r="AU65" s="1"/>
      <c r="AV65" s="1"/>
      <c r="AW65" s="1"/>
      <c r="AX65" s="1"/>
      <c r="AY65" s="1"/>
      <c r="AZ65" s="1"/>
    </row>
    <row r="66" spans="27:52" x14ac:dyDescent="0.25">
      <c r="AA66" s="1"/>
      <c r="AB66" s="1"/>
      <c r="AC66" s="31"/>
      <c r="AD66" s="32"/>
      <c r="AE66" s="33">
        <f t="shared" si="1"/>
        <v>19</v>
      </c>
      <c r="AF66" s="41">
        <f t="shared" si="2"/>
        <v>-6</v>
      </c>
      <c r="AG66" s="42">
        <f t="shared" ref="AG66:AG129" si="5">AI66*(1-(AF66/AH66))^2</f>
        <v>0</v>
      </c>
      <c r="AH66" s="42">
        <f t="shared" si="3"/>
        <v>-6</v>
      </c>
      <c r="AI66" s="43">
        <f t="shared" si="4"/>
        <v>0.01</v>
      </c>
      <c r="AJ66" s="2"/>
      <c r="AK66" s="2"/>
      <c r="AL66" s="3"/>
      <c r="AM66" s="1"/>
      <c r="AN66" s="3"/>
      <c r="AO66" s="2"/>
      <c r="AP66" s="4"/>
      <c r="AQ66" s="2"/>
      <c r="AR66" s="5"/>
      <c r="AS66" s="1"/>
      <c r="AT66" s="1"/>
      <c r="AU66" s="1"/>
      <c r="AV66" s="1"/>
      <c r="AW66" s="1"/>
      <c r="AX66" s="1"/>
      <c r="AY66" s="1"/>
      <c r="AZ66" s="1"/>
    </row>
    <row r="67" spans="27:52" x14ac:dyDescent="0.25">
      <c r="AA67" s="1"/>
      <c r="AB67" s="1"/>
      <c r="AC67" s="31"/>
      <c r="AD67" s="32"/>
      <c r="AE67" s="33">
        <f t="shared" ref="AE67:AE130" si="6">AE66</f>
        <v>19</v>
      </c>
      <c r="AF67" s="41">
        <f t="shared" ref="AF67:AF130" si="7">IF(AF66+(AH66/AE67)&lt;AH66,AH66,AF66+(AH66/AE67))</f>
        <v>-6</v>
      </c>
      <c r="AG67" s="42">
        <f t="shared" si="5"/>
        <v>0</v>
      </c>
      <c r="AH67" s="42">
        <f t="shared" ref="AH67:AH130" si="8">AH66</f>
        <v>-6</v>
      </c>
      <c r="AI67" s="43">
        <f t="shared" ref="AI67:AI130" si="9">AI66</f>
        <v>0.01</v>
      </c>
      <c r="AJ67" s="2"/>
      <c r="AK67" s="2"/>
      <c r="AL67" s="3"/>
      <c r="AM67" s="1"/>
      <c r="AN67" s="3"/>
      <c r="AO67" s="2"/>
      <c r="AP67" s="4"/>
      <c r="AQ67" s="2"/>
      <c r="AR67" s="5"/>
      <c r="AS67" s="1"/>
      <c r="AT67" s="1"/>
      <c r="AU67" s="1"/>
      <c r="AV67" s="1"/>
      <c r="AW67" s="1"/>
      <c r="AX67" s="1"/>
      <c r="AY67" s="1"/>
      <c r="AZ67" s="1"/>
    </row>
    <row r="68" spans="27:52" x14ac:dyDescent="0.25">
      <c r="AA68" s="1"/>
      <c r="AB68" s="1"/>
      <c r="AC68" s="31"/>
      <c r="AD68" s="32"/>
      <c r="AE68" s="33">
        <f t="shared" si="6"/>
        <v>19</v>
      </c>
      <c r="AF68" s="41">
        <f t="shared" si="7"/>
        <v>-6</v>
      </c>
      <c r="AG68" s="42">
        <f t="shared" si="5"/>
        <v>0</v>
      </c>
      <c r="AH68" s="42">
        <f t="shared" si="8"/>
        <v>-6</v>
      </c>
      <c r="AI68" s="43">
        <f t="shared" si="9"/>
        <v>0.01</v>
      </c>
      <c r="AJ68" s="2"/>
      <c r="AK68" s="2"/>
      <c r="AL68" s="3"/>
      <c r="AM68" s="1"/>
      <c r="AN68" s="3"/>
      <c r="AO68" s="2"/>
      <c r="AP68" s="4"/>
      <c r="AQ68" s="2"/>
      <c r="AR68" s="5"/>
      <c r="AS68" s="1"/>
      <c r="AT68" s="1"/>
      <c r="AU68" s="1"/>
      <c r="AV68" s="1"/>
      <c r="AW68" s="1"/>
      <c r="AX68" s="1"/>
      <c r="AY68" s="1"/>
      <c r="AZ68" s="1"/>
    </row>
    <row r="69" spans="27:52" x14ac:dyDescent="0.25">
      <c r="AA69" s="1"/>
      <c r="AB69" s="1"/>
      <c r="AC69" s="31"/>
      <c r="AD69" s="32"/>
      <c r="AE69" s="33">
        <f t="shared" si="6"/>
        <v>19</v>
      </c>
      <c r="AF69" s="41">
        <f t="shared" si="7"/>
        <v>-6</v>
      </c>
      <c r="AG69" s="42">
        <f t="shared" si="5"/>
        <v>0</v>
      </c>
      <c r="AH69" s="42">
        <f t="shared" si="8"/>
        <v>-6</v>
      </c>
      <c r="AI69" s="43">
        <f t="shared" si="9"/>
        <v>0.01</v>
      </c>
      <c r="AJ69" s="2"/>
      <c r="AK69" s="2"/>
      <c r="AL69" s="3"/>
      <c r="AM69" s="1"/>
      <c r="AN69" s="3"/>
      <c r="AO69" s="2"/>
      <c r="AP69" s="4"/>
      <c r="AQ69" s="2"/>
      <c r="AR69" s="5"/>
      <c r="AS69" s="1"/>
      <c r="AT69" s="1"/>
      <c r="AU69" s="1"/>
      <c r="AV69" s="1"/>
      <c r="AW69" s="1"/>
      <c r="AX69" s="1"/>
      <c r="AY69" s="1"/>
      <c r="AZ69" s="1"/>
    </row>
    <row r="70" spans="27:52" x14ac:dyDescent="0.25">
      <c r="AA70" s="1"/>
      <c r="AB70" s="1"/>
      <c r="AC70" s="31"/>
      <c r="AD70" s="32"/>
      <c r="AE70" s="33">
        <f t="shared" si="6"/>
        <v>19</v>
      </c>
      <c r="AF70" s="41">
        <f t="shared" si="7"/>
        <v>-6</v>
      </c>
      <c r="AG70" s="42">
        <f t="shared" si="5"/>
        <v>0</v>
      </c>
      <c r="AH70" s="42">
        <f t="shared" si="8"/>
        <v>-6</v>
      </c>
      <c r="AI70" s="43">
        <f t="shared" si="9"/>
        <v>0.01</v>
      </c>
      <c r="AJ70" s="2"/>
      <c r="AK70" s="2"/>
      <c r="AL70" s="3"/>
      <c r="AM70" s="1"/>
      <c r="AN70" s="3"/>
      <c r="AO70" s="2"/>
      <c r="AP70" s="4"/>
      <c r="AQ70" s="2"/>
      <c r="AR70" s="5"/>
      <c r="AS70" s="1"/>
      <c r="AT70" s="1"/>
      <c r="AU70" s="1"/>
      <c r="AV70" s="1"/>
      <c r="AW70" s="1"/>
      <c r="AX70" s="1"/>
      <c r="AY70" s="1"/>
      <c r="AZ70" s="1"/>
    </row>
    <row r="71" spans="27:52" x14ac:dyDescent="0.25">
      <c r="AA71" s="1"/>
      <c r="AB71" s="1"/>
      <c r="AC71" s="31"/>
      <c r="AD71" s="32"/>
      <c r="AE71" s="33">
        <f t="shared" si="6"/>
        <v>19</v>
      </c>
      <c r="AF71" s="41">
        <f t="shared" si="7"/>
        <v>-6</v>
      </c>
      <c r="AG71" s="42">
        <f t="shared" si="5"/>
        <v>0</v>
      </c>
      <c r="AH71" s="42">
        <f t="shared" si="8"/>
        <v>-6</v>
      </c>
      <c r="AI71" s="43">
        <f t="shared" si="9"/>
        <v>0.01</v>
      </c>
      <c r="AJ71" s="2"/>
      <c r="AK71" s="2"/>
      <c r="AL71" s="3"/>
      <c r="AM71" s="1"/>
      <c r="AN71" s="3"/>
      <c r="AO71" s="2"/>
      <c r="AP71" s="4"/>
      <c r="AQ71" s="2"/>
      <c r="AR71" s="5"/>
      <c r="AS71" s="1"/>
      <c r="AT71" s="1"/>
      <c r="AU71" s="1"/>
      <c r="AV71" s="1"/>
      <c r="AW71" s="1"/>
      <c r="AX71" s="1"/>
      <c r="AY71" s="1"/>
      <c r="AZ71" s="1"/>
    </row>
    <row r="72" spans="27:52" x14ac:dyDescent="0.25">
      <c r="AA72" s="1"/>
      <c r="AB72" s="1"/>
      <c r="AC72" s="31"/>
      <c r="AD72" s="32"/>
      <c r="AE72" s="33">
        <f t="shared" si="6"/>
        <v>19</v>
      </c>
      <c r="AF72" s="41">
        <f t="shared" si="7"/>
        <v>-6</v>
      </c>
      <c r="AG72" s="42">
        <f t="shared" si="5"/>
        <v>0</v>
      </c>
      <c r="AH72" s="42">
        <f t="shared" si="8"/>
        <v>-6</v>
      </c>
      <c r="AI72" s="43">
        <f t="shared" si="9"/>
        <v>0.01</v>
      </c>
      <c r="AJ72" s="2"/>
      <c r="AK72" s="2"/>
      <c r="AL72" s="3"/>
      <c r="AM72" s="1"/>
      <c r="AN72" s="3"/>
      <c r="AO72" s="2"/>
      <c r="AP72" s="4"/>
      <c r="AQ72" s="2"/>
      <c r="AR72" s="5"/>
      <c r="AS72" s="1"/>
      <c r="AT72" s="1"/>
      <c r="AU72" s="1"/>
      <c r="AV72" s="1"/>
      <c r="AW72" s="1"/>
      <c r="AX72" s="1"/>
      <c r="AY72" s="1"/>
      <c r="AZ72" s="1"/>
    </row>
    <row r="73" spans="27:52" x14ac:dyDescent="0.25">
      <c r="AA73" s="1"/>
      <c r="AB73" s="1"/>
      <c r="AC73" s="31"/>
      <c r="AD73" s="32"/>
      <c r="AE73" s="33">
        <f t="shared" si="6"/>
        <v>19</v>
      </c>
      <c r="AF73" s="41">
        <f t="shared" si="7"/>
        <v>-6</v>
      </c>
      <c r="AG73" s="42">
        <f t="shared" si="5"/>
        <v>0</v>
      </c>
      <c r="AH73" s="42">
        <f t="shared" si="8"/>
        <v>-6</v>
      </c>
      <c r="AI73" s="43">
        <f t="shared" si="9"/>
        <v>0.01</v>
      </c>
      <c r="AJ73" s="2"/>
      <c r="AK73" s="2"/>
      <c r="AL73" s="3"/>
      <c r="AM73" s="1"/>
      <c r="AN73" s="3"/>
      <c r="AO73" s="2"/>
      <c r="AP73" s="4"/>
      <c r="AQ73" s="2"/>
      <c r="AR73" s="5"/>
      <c r="AS73" s="1"/>
      <c r="AT73" s="1"/>
      <c r="AU73" s="1"/>
      <c r="AV73" s="1"/>
      <c r="AW73" s="1"/>
      <c r="AX73" s="1"/>
      <c r="AY73" s="1"/>
      <c r="AZ73" s="1"/>
    </row>
    <row r="74" spans="27:52" x14ac:dyDescent="0.25">
      <c r="AA74" s="1"/>
      <c r="AB74" s="1"/>
      <c r="AC74" s="31"/>
      <c r="AD74" s="32"/>
      <c r="AE74" s="33">
        <f t="shared" si="6"/>
        <v>19</v>
      </c>
      <c r="AF74" s="41">
        <f t="shared" si="7"/>
        <v>-6</v>
      </c>
      <c r="AG74" s="42">
        <f t="shared" si="5"/>
        <v>0</v>
      </c>
      <c r="AH74" s="42">
        <f t="shared" si="8"/>
        <v>-6</v>
      </c>
      <c r="AI74" s="43">
        <f t="shared" si="9"/>
        <v>0.01</v>
      </c>
      <c r="AJ74" s="2"/>
      <c r="AK74" s="2"/>
      <c r="AL74" s="3"/>
      <c r="AM74" s="1"/>
      <c r="AN74" s="3"/>
      <c r="AO74" s="2"/>
      <c r="AP74" s="4"/>
      <c r="AQ74" s="2"/>
      <c r="AR74" s="5"/>
      <c r="AS74" s="1"/>
      <c r="AT74" s="1"/>
      <c r="AU74" s="1"/>
      <c r="AV74" s="1"/>
      <c r="AW74" s="1"/>
      <c r="AX74" s="1"/>
      <c r="AY74" s="1"/>
      <c r="AZ74" s="1"/>
    </row>
    <row r="75" spans="27:52" x14ac:dyDescent="0.25">
      <c r="AA75" s="1"/>
      <c r="AB75" s="1"/>
      <c r="AC75" s="31"/>
      <c r="AD75" s="32"/>
      <c r="AE75" s="33">
        <f t="shared" si="6"/>
        <v>19</v>
      </c>
      <c r="AF75" s="41">
        <f t="shared" si="7"/>
        <v>-6</v>
      </c>
      <c r="AG75" s="42">
        <f t="shared" si="5"/>
        <v>0</v>
      </c>
      <c r="AH75" s="42">
        <f t="shared" si="8"/>
        <v>-6</v>
      </c>
      <c r="AI75" s="43">
        <f t="shared" si="9"/>
        <v>0.01</v>
      </c>
      <c r="AJ75" s="2"/>
      <c r="AK75" s="2"/>
      <c r="AL75" s="3"/>
      <c r="AM75" s="1"/>
      <c r="AN75" s="3"/>
      <c r="AO75" s="2"/>
      <c r="AP75" s="4"/>
      <c r="AQ75" s="2"/>
      <c r="AR75" s="5"/>
      <c r="AS75" s="1"/>
      <c r="AT75" s="1"/>
      <c r="AU75" s="1"/>
      <c r="AV75" s="1"/>
      <c r="AW75" s="1"/>
      <c r="AX75" s="1"/>
      <c r="AY75" s="1"/>
      <c r="AZ75" s="1"/>
    </row>
    <row r="76" spans="27:52" x14ac:dyDescent="0.25">
      <c r="AA76" s="1"/>
      <c r="AB76" s="1"/>
      <c r="AC76" s="31"/>
      <c r="AD76" s="32"/>
      <c r="AE76" s="33">
        <f t="shared" si="6"/>
        <v>19</v>
      </c>
      <c r="AF76" s="41">
        <f t="shared" si="7"/>
        <v>-6</v>
      </c>
      <c r="AG76" s="42">
        <f t="shared" si="5"/>
        <v>0</v>
      </c>
      <c r="AH76" s="42">
        <f t="shared" si="8"/>
        <v>-6</v>
      </c>
      <c r="AI76" s="43">
        <f t="shared" si="9"/>
        <v>0.01</v>
      </c>
      <c r="AJ76" s="2"/>
      <c r="AK76" s="2"/>
      <c r="AL76" s="3"/>
      <c r="AM76" s="1"/>
      <c r="AN76" s="3"/>
      <c r="AO76" s="2"/>
      <c r="AP76" s="4"/>
      <c r="AQ76" s="2"/>
      <c r="AR76" s="5"/>
      <c r="AS76" s="1"/>
      <c r="AT76" s="1"/>
      <c r="AU76" s="1"/>
      <c r="AV76" s="1"/>
      <c r="AW76" s="1"/>
      <c r="AX76" s="1"/>
      <c r="AY76" s="1"/>
      <c r="AZ76" s="1"/>
    </row>
    <row r="77" spans="27:52" x14ac:dyDescent="0.25">
      <c r="AA77" s="1"/>
      <c r="AB77" s="1"/>
      <c r="AC77" s="31"/>
      <c r="AD77" s="32"/>
      <c r="AE77" s="33">
        <f t="shared" si="6"/>
        <v>19</v>
      </c>
      <c r="AF77" s="41">
        <f t="shared" si="7"/>
        <v>-6</v>
      </c>
      <c r="AG77" s="42">
        <f t="shared" si="5"/>
        <v>0</v>
      </c>
      <c r="AH77" s="42">
        <f t="shared" si="8"/>
        <v>-6</v>
      </c>
      <c r="AI77" s="43">
        <f t="shared" si="9"/>
        <v>0.01</v>
      </c>
      <c r="AJ77" s="2"/>
      <c r="AK77" s="2"/>
      <c r="AL77" s="3"/>
      <c r="AM77" s="1"/>
      <c r="AN77" s="3"/>
      <c r="AO77" s="2"/>
      <c r="AP77" s="4"/>
      <c r="AQ77" s="2"/>
      <c r="AR77" s="5"/>
      <c r="AS77" s="1"/>
      <c r="AT77" s="1"/>
      <c r="AU77" s="1"/>
      <c r="AV77" s="1"/>
      <c r="AW77" s="1"/>
      <c r="AX77" s="1"/>
      <c r="AY77" s="1"/>
      <c r="AZ77" s="1"/>
    </row>
    <row r="78" spans="27:52" x14ac:dyDescent="0.25">
      <c r="AA78" s="1"/>
      <c r="AB78" s="1"/>
      <c r="AC78" s="31"/>
      <c r="AD78" s="32"/>
      <c r="AE78" s="33">
        <f t="shared" si="6"/>
        <v>19</v>
      </c>
      <c r="AF78" s="41">
        <f t="shared" si="7"/>
        <v>-6</v>
      </c>
      <c r="AG78" s="42">
        <f t="shared" si="5"/>
        <v>0</v>
      </c>
      <c r="AH78" s="42">
        <f t="shared" si="8"/>
        <v>-6</v>
      </c>
      <c r="AI78" s="43">
        <f t="shared" si="9"/>
        <v>0.01</v>
      </c>
      <c r="AJ78" s="2"/>
      <c r="AK78" s="2"/>
      <c r="AL78" s="3"/>
      <c r="AM78" s="1"/>
      <c r="AN78" s="3"/>
      <c r="AO78" s="2"/>
      <c r="AP78" s="4"/>
      <c r="AQ78" s="2"/>
      <c r="AR78" s="5"/>
      <c r="AS78" s="1"/>
      <c r="AT78" s="1"/>
      <c r="AU78" s="1"/>
      <c r="AV78" s="1"/>
      <c r="AW78" s="1"/>
      <c r="AX78" s="1"/>
      <c r="AY78" s="1"/>
      <c r="AZ78" s="1"/>
    </row>
    <row r="79" spans="27:52" x14ac:dyDescent="0.25">
      <c r="AA79" s="1"/>
      <c r="AB79" s="1"/>
      <c r="AC79" s="31"/>
      <c r="AD79" s="32"/>
      <c r="AE79" s="33">
        <f t="shared" si="6"/>
        <v>19</v>
      </c>
      <c r="AF79" s="41">
        <f t="shared" si="7"/>
        <v>-6</v>
      </c>
      <c r="AG79" s="42">
        <f t="shared" si="5"/>
        <v>0</v>
      </c>
      <c r="AH79" s="42">
        <f t="shared" si="8"/>
        <v>-6</v>
      </c>
      <c r="AI79" s="43">
        <f t="shared" si="9"/>
        <v>0.01</v>
      </c>
      <c r="AJ79" s="2"/>
      <c r="AK79" s="2"/>
      <c r="AL79" s="3"/>
      <c r="AM79" s="1"/>
      <c r="AN79" s="3"/>
      <c r="AO79" s="2"/>
      <c r="AP79" s="4"/>
      <c r="AQ79" s="2"/>
      <c r="AR79" s="5"/>
      <c r="AS79" s="1"/>
      <c r="AT79" s="1"/>
      <c r="AU79" s="1"/>
      <c r="AV79" s="1"/>
      <c r="AW79" s="1"/>
      <c r="AX79" s="1"/>
      <c r="AY79" s="1"/>
      <c r="AZ79" s="1"/>
    </row>
    <row r="80" spans="27:52" x14ac:dyDescent="0.25">
      <c r="AA80" s="1"/>
      <c r="AB80" s="1"/>
      <c r="AC80" s="31"/>
      <c r="AD80" s="32"/>
      <c r="AE80" s="33">
        <f t="shared" si="6"/>
        <v>19</v>
      </c>
      <c r="AF80" s="41">
        <f t="shared" si="7"/>
        <v>-6</v>
      </c>
      <c r="AG80" s="42">
        <f t="shared" si="5"/>
        <v>0</v>
      </c>
      <c r="AH80" s="42">
        <f t="shared" si="8"/>
        <v>-6</v>
      </c>
      <c r="AI80" s="43">
        <f t="shared" si="9"/>
        <v>0.01</v>
      </c>
      <c r="AJ80" s="2"/>
      <c r="AK80" s="2"/>
      <c r="AL80" s="3"/>
      <c r="AM80" s="1"/>
      <c r="AN80" s="3"/>
      <c r="AO80" s="2"/>
      <c r="AP80" s="4"/>
      <c r="AQ80" s="2"/>
      <c r="AR80" s="5"/>
      <c r="AS80" s="1"/>
      <c r="AT80" s="1"/>
      <c r="AU80" s="1"/>
      <c r="AV80" s="1"/>
      <c r="AW80" s="1"/>
      <c r="AX80" s="1"/>
      <c r="AY80" s="1"/>
      <c r="AZ80" s="1"/>
    </row>
    <row r="81" spans="27:52" x14ac:dyDescent="0.25">
      <c r="AA81" s="1"/>
      <c r="AB81" s="1"/>
      <c r="AC81" s="31"/>
      <c r="AD81" s="32"/>
      <c r="AE81" s="33">
        <f t="shared" si="6"/>
        <v>19</v>
      </c>
      <c r="AF81" s="41">
        <f t="shared" si="7"/>
        <v>-6</v>
      </c>
      <c r="AG81" s="42">
        <f t="shared" si="5"/>
        <v>0</v>
      </c>
      <c r="AH81" s="42">
        <f t="shared" si="8"/>
        <v>-6</v>
      </c>
      <c r="AI81" s="43">
        <f t="shared" si="9"/>
        <v>0.01</v>
      </c>
      <c r="AJ81" s="2"/>
      <c r="AK81" s="2"/>
      <c r="AL81" s="3"/>
      <c r="AM81" s="1"/>
      <c r="AN81" s="3"/>
      <c r="AO81" s="2"/>
      <c r="AP81" s="4"/>
      <c r="AQ81" s="2"/>
      <c r="AR81" s="5"/>
      <c r="AS81" s="1"/>
      <c r="AT81" s="1"/>
      <c r="AU81" s="1"/>
      <c r="AV81" s="1"/>
      <c r="AW81" s="1"/>
      <c r="AX81" s="1"/>
      <c r="AY81" s="1"/>
      <c r="AZ81" s="1"/>
    </row>
    <row r="82" spans="27:52" x14ac:dyDescent="0.25">
      <c r="AA82" s="1"/>
      <c r="AB82" s="1"/>
      <c r="AC82" s="31"/>
      <c r="AD82" s="32"/>
      <c r="AE82" s="33">
        <f t="shared" si="6"/>
        <v>19</v>
      </c>
      <c r="AF82" s="41">
        <f t="shared" si="7"/>
        <v>-6</v>
      </c>
      <c r="AG82" s="42">
        <f t="shared" si="5"/>
        <v>0</v>
      </c>
      <c r="AH82" s="42">
        <f t="shared" si="8"/>
        <v>-6</v>
      </c>
      <c r="AI82" s="43">
        <f t="shared" si="9"/>
        <v>0.01</v>
      </c>
      <c r="AJ82" s="2"/>
      <c r="AK82" s="2"/>
      <c r="AL82" s="3"/>
      <c r="AM82" s="1"/>
      <c r="AN82" s="3"/>
      <c r="AO82" s="2"/>
      <c r="AP82" s="4"/>
      <c r="AQ82" s="2"/>
      <c r="AR82" s="5"/>
      <c r="AS82" s="1"/>
      <c r="AT82" s="1"/>
      <c r="AU82" s="1"/>
      <c r="AV82" s="1"/>
      <c r="AW82" s="1"/>
      <c r="AX82" s="1"/>
      <c r="AY82" s="1"/>
      <c r="AZ82" s="1"/>
    </row>
    <row r="83" spans="27:52" x14ac:dyDescent="0.25">
      <c r="AA83" s="1"/>
      <c r="AB83" s="1"/>
      <c r="AC83" s="31"/>
      <c r="AD83" s="32"/>
      <c r="AE83" s="33">
        <f t="shared" si="6"/>
        <v>19</v>
      </c>
      <c r="AF83" s="41">
        <f t="shared" si="7"/>
        <v>-6</v>
      </c>
      <c r="AG83" s="42">
        <f t="shared" si="5"/>
        <v>0</v>
      </c>
      <c r="AH83" s="42">
        <f t="shared" si="8"/>
        <v>-6</v>
      </c>
      <c r="AI83" s="43">
        <f t="shared" si="9"/>
        <v>0.01</v>
      </c>
      <c r="AJ83" s="2"/>
      <c r="AK83" s="2"/>
      <c r="AL83" s="3"/>
      <c r="AM83" s="1"/>
      <c r="AN83" s="3"/>
      <c r="AO83" s="2"/>
      <c r="AP83" s="4"/>
      <c r="AQ83" s="2"/>
      <c r="AR83" s="5"/>
      <c r="AS83" s="1"/>
      <c r="AT83" s="1"/>
      <c r="AU83" s="1"/>
      <c r="AV83" s="1"/>
      <c r="AW83" s="1"/>
      <c r="AX83" s="1"/>
      <c r="AY83" s="1"/>
      <c r="AZ83" s="1"/>
    </row>
    <row r="84" spans="27:52" x14ac:dyDescent="0.25">
      <c r="AA84" s="1"/>
      <c r="AB84" s="1"/>
      <c r="AC84" s="31"/>
      <c r="AD84" s="32"/>
      <c r="AE84" s="33">
        <f t="shared" si="6"/>
        <v>19</v>
      </c>
      <c r="AF84" s="41">
        <f t="shared" si="7"/>
        <v>-6</v>
      </c>
      <c r="AG84" s="42">
        <f t="shared" si="5"/>
        <v>0</v>
      </c>
      <c r="AH84" s="42">
        <f t="shared" si="8"/>
        <v>-6</v>
      </c>
      <c r="AI84" s="43">
        <f t="shared" si="9"/>
        <v>0.01</v>
      </c>
      <c r="AJ84" s="2"/>
      <c r="AK84" s="2"/>
      <c r="AL84" s="3"/>
      <c r="AM84" s="1"/>
      <c r="AN84" s="3"/>
      <c r="AO84" s="2"/>
      <c r="AP84" s="4"/>
      <c r="AQ84" s="2"/>
      <c r="AR84" s="5"/>
      <c r="AS84" s="1"/>
      <c r="AT84" s="1"/>
      <c r="AU84" s="1"/>
      <c r="AV84" s="1"/>
      <c r="AW84" s="1"/>
      <c r="AX84" s="1"/>
      <c r="AY84" s="1"/>
      <c r="AZ84" s="1"/>
    </row>
    <row r="85" spans="27:52" x14ac:dyDescent="0.25">
      <c r="AA85" s="1"/>
      <c r="AB85" s="1"/>
      <c r="AC85" s="31"/>
      <c r="AD85" s="32"/>
      <c r="AE85" s="33">
        <f t="shared" si="6"/>
        <v>19</v>
      </c>
      <c r="AF85" s="41">
        <f t="shared" si="7"/>
        <v>-6</v>
      </c>
      <c r="AG85" s="42">
        <f t="shared" si="5"/>
        <v>0</v>
      </c>
      <c r="AH85" s="42">
        <f t="shared" si="8"/>
        <v>-6</v>
      </c>
      <c r="AI85" s="43">
        <f t="shared" si="9"/>
        <v>0.01</v>
      </c>
      <c r="AJ85" s="2"/>
      <c r="AK85" s="2"/>
      <c r="AL85" s="3"/>
      <c r="AM85" s="1"/>
      <c r="AN85" s="3"/>
      <c r="AO85" s="2"/>
      <c r="AP85" s="4"/>
      <c r="AQ85" s="2"/>
      <c r="AR85" s="5"/>
      <c r="AS85" s="1"/>
      <c r="AT85" s="1"/>
      <c r="AU85" s="1"/>
      <c r="AV85" s="1"/>
      <c r="AW85" s="1"/>
      <c r="AX85" s="1"/>
      <c r="AY85" s="1"/>
      <c r="AZ85" s="1"/>
    </row>
    <row r="86" spans="27:52" x14ac:dyDescent="0.25">
      <c r="AA86" s="1"/>
      <c r="AB86" s="1"/>
      <c r="AC86" s="31"/>
      <c r="AD86" s="32"/>
      <c r="AE86" s="33">
        <f t="shared" si="6"/>
        <v>19</v>
      </c>
      <c r="AF86" s="41">
        <f t="shared" si="7"/>
        <v>-6</v>
      </c>
      <c r="AG86" s="42">
        <f t="shared" si="5"/>
        <v>0</v>
      </c>
      <c r="AH86" s="42">
        <f t="shared" si="8"/>
        <v>-6</v>
      </c>
      <c r="AI86" s="43">
        <f t="shared" si="9"/>
        <v>0.01</v>
      </c>
      <c r="AJ86" s="2"/>
      <c r="AK86" s="2"/>
      <c r="AL86" s="3"/>
      <c r="AM86" s="1"/>
      <c r="AN86" s="3"/>
      <c r="AO86" s="2"/>
      <c r="AP86" s="4"/>
      <c r="AQ86" s="2"/>
      <c r="AR86" s="5"/>
      <c r="AS86" s="1"/>
      <c r="AT86" s="1"/>
      <c r="AU86" s="1"/>
      <c r="AV86" s="1"/>
      <c r="AW86" s="1"/>
      <c r="AX86" s="1"/>
      <c r="AY86" s="1"/>
      <c r="AZ86" s="1"/>
    </row>
    <row r="87" spans="27:52" x14ac:dyDescent="0.25">
      <c r="AA87" s="1"/>
      <c r="AB87" s="1"/>
      <c r="AC87" s="31"/>
      <c r="AD87" s="32"/>
      <c r="AE87" s="33">
        <f t="shared" si="6"/>
        <v>19</v>
      </c>
      <c r="AF87" s="41">
        <f t="shared" si="7"/>
        <v>-6</v>
      </c>
      <c r="AG87" s="42">
        <f t="shared" si="5"/>
        <v>0</v>
      </c>
      <c r="AH87" s="42">
        <f t="shared" si="8"/>
        <v>-6</v>
      </c>
      <c r="AI87" s="43">
        <f t="shared" si="9"/>
        <v>0.01</v>
      </c>
      <c r="AJ87" s="2"/>
      <c r="AK87" s="2"/>
      <c r="AL87" s="3"/>
      <c r="AM87" s="1"/>
      <c r="AN87" s="3"/>
      <c r="AO87" s="2"/>
      <c r="AP87" s="4"/>
      <c r="AQ87" s="2"/>
      <c r="AR87" s="5"/>
      <c r="AS87" s="1"/>
      <c r="AT87" s="1"/>
      <c r="AU87" s="1"/>
      <c r="AV87" s="1"/>
      <c r="AW87" s="1"/>
      <c r="AX87" s="1"/>
      <c r="AY87" s="1"/>
      <c r="AZ87" s="1"/>
    </row>
    <row r="88" spans="27:52" x14ac:dyDescent="0.25">
      <c r="AA88" s="1"/>
      <c r="AB88" s="1"/>
      <c r="AC88" s="31"/>
      <c r="AD88" s="32"/>
      <c r="AE88" s="33">
        <f t="shared" si="6"/>
        <v>19</v>
      </c>
      <c r="AF88" s="41">
        <f t="shared" si="7"/>
        <v>-6</v>
      </c>
      <c r="AG88" s="42">
        <f t="shared" si="5"/>
        <v>0</v>
      </c>
      <c r="AH88" s="42">
        <f t="shared" si="8"/>
        <v>-6</v>
      </c>
      <c r="AI88" s="43">
        <f t="shared" si="9"/>
        <v>0.01</v>
      </c>
      <c r="AJ88" s="2"/>
      <c r="AK88" s="2"/>
      <c r="AL88" s="3"/>
      <c r="AM88" s="1"/>
      <c r="AN88" s="3"/>
      <c r="AO88" s="2"/>
      <c r="AP88" s="4"/>
      <c r="AQ88" s="2"/>
      <c r="AR88" s="5"/>
      <c r="AS88" s="1"/>
      <c r="AT88" s="1"/>
      <c r="AU88" s="1"/>
      <c r="AV88" s="1"/>
      <c r="AW88" s="1"/>
      <c r="AX88" s="1"/>
      <c r="AY88" s="1"/>
      <c r="AZ88" s="1"/>
    </row>
    <row r="89" spans="27:52" x14ac:dyDescent="0.25">
      <c r="AA89" s="1"/>
      <c r="AB89" s="1"/>
      <c r="AC89" s="31"/>
      <c r="AD89" s="32"/>
      <c r="AE89" s="33">
        <f t="shared" si="6"/>
        <v>19</v>
      </c>
      <c r="AF89" s="41">
        <f t="shared" si="7"/>
        <v>-6</v>
      </c>
      <c r="AG89" s="42">
        <f t="shared" si="5"/>
        <v>0</v>
      </c>
      <c r="AH89" s="42">
        <f t="shared" si="8"/>
        <v>-6</v>
      </c>
      <c r="AI89" s="43">
        <f t="shared" si="9"/>
        <v>0.01</v>
      </c>
      <c r="AJ89" s="2"/>
      <c r="AK89" s="2"/>
      <c r="AL89" s="3"/>
      <c r="AM89" s="1"/>
      <c r="AN89" s="3"/>
      <c r="AO89" s="2"/>
      <c r="AP89" s="4"/>
      <c r="AQ89" s="2"/>
      <c r="AR89" s="5"/>
      <c r="AS89" s="1"/>
      <c r="AT89" s="1"/>
      <c r="AU89" s="1"/>
      <c r="AV89" s="1"/>
      <c r="AW89" s="1"/>
      <c r="AX89" s="1"/>
      <c r="AY89" s="1"/>
      <c r="AZ89" s="1"/>
    </row>
    <row r="90" spans="27:52" x14ac:dyDescent="0.25">
      <c r="AA90" s="1"/>
      <c r="AB90" s="1"/>
      <c r="AC90" s="31"/>
      <c r="AD90" s="32"/>
      <c r="AE90" s="33">
        <f t="shared" si="6"/>
        <v>19</v>
      </c>
      <c r="AF90" s="41">
        <f t="shared" si="7"/>
        <v>-6</v>
      </c>
      <c r="AG90" s="42">
        <f t="shared" si="5"/>
        <v>0</v>
      </c>
      <c r="AH90" s="42">
        <f t="shared" si="8"/>
        <v>-6</v>
      </c>
      <c r="AI90" s="43">
        <f t="shared" si="9"/>
        <v>0.01</v>
      </c>
      <c r="AJ90" s="2"/>
      <c r="AK90" s="2"/>
      <c r="AL90" s="3"/>
      <c r="AM90" s="1"/>
      <c r="AN90" s="3"/>
      <c r="AO90" s="2"/>
      <c r="AP90" s="4"/>
      <c r="AQ90" s="2"/>
      <c r="AR90" s="5"/>
      <c r="AS90" s="1"/>
      <c r="AT90" s="1"/>
      <c r="AU90" s="1"/>
      <c r="AV90" s="1"/>
      <c r="AW90" s="1"/>
      <c r="AX90" s="1"/>
      <c r="AY90" s="1"/>
      <c r="AZ90" s="1"/>
    </row>
    <row r="91" spans="27:52" x14ac:dyDescent="0.25">
      <c r="AA91" s="1"/>
      <c r="AB91" s="1"/>
      <c r="AC91" s="31"/>
      <c r="AD91" s="32"/>
      <c r="AE91" s="33">
        <f t="shared" si="6"/>
        <v>19</v>
      </c>
      <c r="AF91" s="41">
        <f t="shared" si="7"/>
        <v>-6</v>
      </c>
      <c r="AG91" s="42">
        <f t="shared" si="5"/>
        <v>0</v>
      </c>
      <c r="AH91" s="42">
        <f t="shared" si="8"/>
        <v>-6</v>
      </c>
      <c r="AI91" s="43">
        <f t="shared" si="9"/>
        <v>0.01</v>
      </c>
      <c r="AJ91" s="2"/>
      <c r="AK91" s="2"/>
      <c r="AL91" s="3"/>
      <c r="AM91" s="1"/>
      <c r="AN91" s="3"/>
      <c r="AO91" s="2"/>
      <c r="AP91" s="4"/>
      <c r="AQ91" s="2"/>
      <c r="AR91" s="5"/>
      <c r="AS91" s="1"/>
      <c r="AT91" s="1"/>
      <c r="AU91" s="1"/>
      <c r="AV91" s="1"/>
      <c r="AW91" s="1"/>
      <c r="AX91" s="1"/>
      <c r="AY91" s="1"/>
      <c r="AZ91" s="1"/>
    </row>
    <row r="92" spans="27:52" x14ac:dyDescent="0.25">
      <c r="AA92" s="1"/>
      <c r="AB92" s="1"/>
      <c r="AC92" s="31"/>
      <c r="AD92" s="32"/>
      <c r="AE92" s="33">
        <f t="shared" si="6"/>
        <v>19</v>
      </c>
      <c r="AF92" s="41">
        <f t="shared" si="7"/>
        <v>-6</v>
      </c>
      <c r="AG92" s="42">
        <f t="shared" si="5"/>
        <v>0</v>
      </c>
      <c r="AH92" s="42">
        <f t="shared" si="8"/>
        <v>-6</v>
      </c>
      <c r="AI92" s="43">
        <f t="shared" si="9"/>
        <v>0.01</v>
      </c>
      <c r="AJ92" s="2"/>
      <c r="AK92" s="2"/>
      <c r="AL92" s="3"/>
      <c r="AM92" s="1"/>
      <c r="AN92" s="3"/>
      <c r="AO92" s="2"/>
      <c r="AP92" s="4"/>
      <c r="AQ92" s="2"/>
      <c r="AR92" s="5"/>
      <c r="AS92" s="1"/>
      <c r="AT92" s="1"/>
      <c r="AU92" s="1"/>
      <c r="AV92" s="1"/>
      <c r="AW92" s="1"/>
      <c r="AX92" s="1"/>
      <c r="AY92" s="1"/>
      <c r="AZ92" s="1"/>
    </row>
    <row r="93" spans="27:52" x14ac:dyDescent="0.25">
      <c r="AA93" s="1"/>
      <c r="AB93" s="1"/>
      <c r="AC93" s="31"/>
      <c r="AD93" s="32"/>
      <c r="AE93" s="33">
        <f t="shared" si="6"/>
        <v>19</v>
      </c>
      <c r="AF93" s="41">
        <f t="shared" si="7"/>
        <v>-6</v>
      </c>
      <c r="AG93" s="42">
        <f t="shared" si="5"/>
        <v>0</v>
      </c>
      <c r="AH93" s="42">
        <f t="shared" si="8"/>
        <v>-6</v>
      </c>
      <c r="AI93" s="43">
        <f t="shared" si="9"/>
        <v>0.01</v>
      </c>
      <c r="AJ93" s="2"/>
      <c r="AK93" s="2"/>
      <c r="AL93" s="3"/>
      <c r="AM93" s="1"/>
      <c r="AN93" s="3"/>
      <c r="AO93" s="2"/>
      <c r="AP93" s="4"/>
      <c r="AQ93" s="2"/>
      <c r="AR93" s="5"/>
      <c r="AS93" s="1"/>
      <c r="AT93" s="1"/>
      <c r="AU93" s="1"/>
      <c r="AV93" s="1"/>
      <c r="AW93" s="1"/>
      <c r="AX93" s="1"/>
      <c r="AY93" s="1"/>
      <c r="AZ93" s="1"/>
    </row>
    <row r="94" spans="27:52" x14ac:dyDescent="0.25">
      <c r="AA94" s="1"/>
      <c r="AB94" s="1"/>
      <c r="AC94" s="31"/>
      <c r="AD94" s="32"/>
      <c r="AE94" s="33">
        <f t="shared" si="6"/>
        <v>19</v>
      </c>
      <c r="AF94" s="41">
        <f t="shared" si="7"/>
        <v>-6</v>
      </c>
      <c r="AG94" s="42">
        <f t="shared" si="5"/>
        <v>0</v>
      </c>
      <c r="AH94" s="42">
        <f t="shared" si="8"/>
        <v>-6</v>
      </c>
      <c r="AI94" s="43">
        <f t="shared" si="9"/>
        <v>0.01</v>
      </c>
      <c r="AJ94" s="2"/>
      <c r="AK94" s="2"/>
      <c r="AL94" s="3"/>
      <c r="AM94" s="1"/>
      <c r="AN94" s="3"/>
      <c r="AO94" s="2"/>
      <c r="AP94" s="4"/>
      <c r="AQ94" s="2"/>
      <c r="AR94" s="5"/>
      <c r="AS94" s="1"/>
      <c r="AT94" s="1"/>
      <c r="AU94" s="1"/>
      <c r="AV94" s="1"/>
      <c r="AW94" s="1"/>
      <c r="AX94" s="1"/>
      <c r="AY94" s="1"/>
      <c r="AZ94" s="1"/>
    </row>
    <row r="95" spans="27:52" x14ac:dyDescent="0.25">
      <c r="AA95" s="1"/>
      <c r="AB95" s="1"/>
      <c r="AC95" s="31"/>
      <c r="AD95" s="32"/>
      <c r="AE95" s="33">
        <f t="shared" si="6"/>
        <v>19</v>
      </c>
      <c r="AF95" s="41">
        <f t="shared" si="7"/>
        <v>-6</v>
      </c>
      <c r="AG95" s="42">
        <f t="shared" si="5"/>
        <v>0</v>
      </c>
      <c r="AH95" s="42">
        <f t="shared" si="8"/>
        <v>-6</v>
      </c>
      <c r="AI95" s="43">
        <f t="shared" si="9"/>
        <v>0.01</v>
      </c>
      <c r="AJ95" s="2"/>
      <c r="AK95" s="2"/>
      <c r="AL95" s="3"/>
      <c r="AM95" s="1"/>
      <c r="AN95" s="3"/>
      <c r="AO95" s="2"/>
      <c r="AP95" s="4"/>
      <c r="AQ95" s="2"/>
      <c r="AR95" s="5"/>
      <c r="AS95" s="1"/>
      <c r="AT95" s="1"/>
      <c r="AU95" s="1"/>
      <c r="AV95" s="1"/>
      <c r="AW95" s="1"/>
      <c r="AX95" s="1"/>
      <c r="AY95" s="1"/>
      <c r="AZ95" s="1"/>
    </row>
    <row r="96" spans="27:52" x14ac:dyDescent="0.25">
      <c r="AA96" s="1"/>
      <c r="AB96" s="1"/>
      <c r="AC96" s="31"/>
      <c r="AD96" s="32"/>
      <c r="AE96" s="33">
        <f t="shared" si="6"/>
        <v>19</v>
      </c>
      <c r="AF96" s="41">
        <f t="shared" si="7"/>
        <v>-6</v>
      </c>
      <c r="AG96" s="42">
        <f t="shared" si="5"/>
        <v>0</v>
      </c>
      <c r="AH96" s="42">
        <f t="shared" si="8"/>
        <v>-6</v>
      </c>
      <c r="AI96" s="43">
        <f t="shared" si="9"/>
        <v>0.01</v>
      </c>
      <c r="AJ96" s="2"/>
      <c r="AK96" s="2"/>
      <c r="AL96" s="3"/>
      <c r="AM96" s="1"/>
      <c r="AN96" s="3"/>
      <c r="AO96" s="2"/>
      <c r="AP96" s="4"/>
      <c r="AQ96" s="2"/>
      <c r="AR96" s="5"/>
      <c r="AS96" s="1"/>
      <c r="AT96" s="1"/>
      <c r="AU96" s="1"/>
      <c r="AV96" s="1"/>
      <c r="AW96" s="1"/>
      <c r="AX96" s="1"/>
      <c r="AY96" s="1"/>
      <c r="AZ96" s="1"/>
    </row>
    <row r="97" spans="27:52" x14ac:dyDescent="0.25">
      <c r="AA97" s="1"/>
      <c r="AB97" s="1"/>
      <c r="AC97" s="31"/>
      <c r="AD97" s="32"/>
      <c r="AE97" s="33">
        <f t="shared" si="6"/>
        <v>19</v>
      </c>
      <c r="AF97" s="41">
        <f t="shared" si="7"/>
        <v>-6</v>
      </c>
      <c r="AG97" s="42">
        <f t="shared" si="5"/>
        <v>0</v>
      </c>
      <c r="AH97" s="42">
        <f t="shared" si="8"/>
        <v>-6</v>
      </c>
      <c r="AI97" s="43">
        <f t="shared" si="9"/>
        <v>0.01</v>
      </c>
      <c r="AJ97" s="2"/>
      <c r="AK97" s="2"/>
      <c r="AL97" s="3"/>
      <c r="AM97" s="1"/>
      <c r="AN97" s="3"/>
      <c r="AO97" s="2"/>
      <c r="AP97" s="4"/>
      <c r="AQ97" s="2"/>
      <c r="AR97" s="5"/>
      <c r="AS97" s="1"/>
      <c r="AT97" s="1"/>
      <c r="AU97" s="1"/>
      <c r="AV97" s="1"/>
      <c r="AW97" s="1"/>
      <c r="AX97" s="1"/>
      <c r="AY97" s="1"/>
      <c r="AZ97" s="1"/>
    </row>
    <row r="98" spans="27:52" x14ac:dyDescent="0.25">
      <c r="AA98" s="1"/>
      <c r="AB98" s="1"/>
      <c r="AC98" s="31"/>
      <c r="AD98" s="32"/>
      <c r="AE98" s="33">
        <f t="shared" si="6"/>
        <v>19</v>
      </c>
      <c r="AF98" s="41">
        <f t="shared" si="7"/>
        <v>-6</v>
      </c>
      <c r="AG98" s="42">
        <f t="shared" si="5"/>
        <v>0</v>
      </c>
      <c r="AH98" s="42">
        <f t="shared" si="8"/>
        <v>-6</v>
      </c>
      <c r="AI98" s="43">
        <f t="shared" si="9"/>
        <v>0.01</v>
      </c>
      <c r="AJ98" s="2"/>
      <c r="AK98" s="2"/>
      <c r="AL98" s="3"/>
      <c r="AM98" s="1"/>
      <c r="AN98" s="3"/>
      <c r="AO98" s="2"/>
      <c r="AP98" s="4"/>
      <c r="AQ98" s="2"/>
      <c r="AR98" s="5"/>
      <c r="AS98" s="1"/>
      <c r="AT98" s="1"/>
      <c r="AU98" s="1"/>
      <c r="AV98" s="1"/>
      <c r="AW98" s="1"/>
      <c r="AX98" s="1"/>
      <c r="AY98" s="1"/>
      <c r="AZ98" s="1"/>
    </row>
    <row r="99" spans="27:52" x14ac:dyDescent="0.25">
      <c r="AA99" s="1"/>
      <c r="AB99" s="1"/>
      <c r="AC99" s="31"/>
      <c r="AD99" s="32"/>
      <c r="AE99" s="33">
        <f t="shared" si="6"/>
        <v>19</v>
      </c>
      <c r="AF99" s="41">
        <f t="shared" si="7"/>
        <v>-6</v>
      </c>
      <c r="AG99" s="42">
        <f t="shared" si="5"/>
        <v>0</v>
      </c>
      <c r="AH99" s="42">
        <f t="shared" si="8"/>
        <v>-6</v>
      </c>
      <c r="AI99" s="43">
        <f t="shared" si="9"/>
        <v>0.01</v>
      </c>
      <c r="AJ99" s="2"/>
      <c r="AK99" s="2"/>
      <c r="AL99" s="3"/>
      <c r="AM99" s="1"/>
      <c r="AN99" s="3"/>
      <c r="AO99" s="2"/>
      <c r="AP99" s="4"/>
      <c r="AQ99" s="2"/>
      <c r="AR99" s="5"/>
      <c r="AS99" s="1"/>
      <c r="AT99" s="1"/>
      <c r="AU99" s="1"/>
      <c r="AV99" s="1"/>
      <c r="AW99" s="1"/>
      <c r="AX99" s="1"/>
      <c r="AY99" s="1"/>
      <c r="AZ99" s="1"/>
    </row>
    <row r="100" spans="27:52" x14ac:dyDescent="0.25">
      <c r="AA100" s="1"/>
      <c r="AB100" s="1"/>
      <c r="AC100" s="31"/>
      <c r="AD100" s="32"/>
      <c r="AE100" s="33">
        <f t="shared" si="6"/>
        <v>19</v>
      </c>
      <c r="AF100" s="41">
        <f t="shared" si="7"/>
        <v>-6</v>
      </c>
      <c r="AG100" s="42">
        <f t="shared" si="5"/>
        <v>0</v>
      </c>
      <c r="AH100" s="42">
        <f t="shared" si="8"/>
        <v>-6</v>
      </c>
      <c r="AI100" s="43">
        <f t="shared" si="9"/>
        <v>0.01</v>
      </c>
      <c r="AJ100" s="2"/>
      <c r="AK100" s="2"/>
      <c r="AL100" s="3"/>
      <c r="AM100" s="1"/>
      <c r="AN100" s="3"/>
      <c r="AO100" s="2"/>
      <c r="AP100" s="4"/>
      <c r="AQ100" s="2"/>
      <c r="AR100" s="5"/>
      <c r="AS100" s="1"/>
      <c r="AT100" s="1"/>
      <c r="AU100" s="1"/>
      <c r="AV100" s="1"/>
      <c r="AW100" s="1"/>
      <c r="AX100" s="1"/>
      <c r="AY100" s="1"/>
      <c r="AZ100" s="1"/>
    </row>
    <row r="101" spans="27:52" x14ac:dyDescent="0.25">
      <c r="AA101" s="1"/>
      <c r="AB101" s="1"/>
      <c r="AC101" s="31"/>
      <c r="AD101" s="32"/>
      <c r="AE101" s="33">
        <f t="shared" si="6"/>
        <v>19</v>
      </c>
      <c r="AF101" s="41">
        <f t="shared" si="7"/>
        <v>-6</v>
      </c>
      <c r="AG101" s="42">
        <f t="shared" si="5"/>
        <v>0</v>
      </c>
      <c r="AH101" s="42">
        <f t="shared" si="8"/>
        <v>-6</v>
      </c>
      <c r="AI101" s="43">
        <f t="shared" si="9"/>
        <v>0.01</v>
      </c>
      <c r="AJ101" s="2"/>
      <c r="AK101" s="2"/>
      <c r="AL101" s="3"/>
      <c r="AM101" s="1"/>
      <c r="AN101" s="3"/>
      <c r="AO101" s="2"/>
      <c r="AP101" s="4"/>
      <c r="AQ101" s="2"/>
      <c r="AR101" s="5"/>
      <c r="AS101" s="1"/>
      <c r="AT101" s="1"/>
      <c r="AU101" s="1"/>
      <c r="AV101" s="1"/>
      <c r="AW101" s="1"/>
      <c r="AX101" s="1"/>
      <c r="AY101" s="1"/>
      <c r="AZ101" s="1"/>
    </row>
    <row r="102" spans="27:52" x14ac:dyDescent="0.25">
      <c r="AA102" s="1"/>
      <c r="AB102" s="1"/>
      <c r="AC102" s="31"/>
      <c r="AD102" s="32"/>
      <c r="AE102" s="33">
        <f t="shared" si="6"/>
        <v>19</v>
      </c>
      <c r="AF102" s="41">
        <f t="shared" si="7"/>
        <v>-6</v>
      </c>
      <c r="AG102" s="42">
        <f t="shared" si="5"/>
        <v>0</v>
      </c>
      <c r="AH102" s="42">
        <f t="shared" si="8"/>
        <v>-6</v>
      </c>
      <c r="AI102" s="43">
        <f t="shared" si="9"/>
        <v>0.01</v>
      </c>
      <c r="AJ102" s="2"/>
      <c r="AK102" s="2"/>
      <c r="AL102" s="3"/>
      <c r="AM102" s="1"/>
      <c r="AN102" s="3"/>
      <c r="AO102" s="2"/>
      <c r="AP102" s="4"/>
      <c r="AQ102" s="2"/>
      <c r="AR102" s="5"/>
      <c r="AS102" s="1"/>
      <c r="AT102" s="1"/>
      <c r="AU102" s="1"/>
      <c r="AV102" s="1"/>
      <c r="AW102" s="1"/>
      <c r="AX102" s="1"/>
      <c r="AY102" s="1"/>
      <c r="AZ102" s="1"/>
    </row>
    <row r="103" spans="27:52" x14ac:dyDescent="0.25">
      <c r="AA103" s="1"/>
      <c r="AB103" s="1"/>
      <c r="AC103" s="31"/>
      <c r="AD103" s="32"/>
      <c r="AE103" s="33">
        <f t="shared" si="6"/>
        <v>19</v>
      </c>
      <c r="AF103" s="41">
        <f t="shared" si="7"/>
        <v>-6</v>
      </c>
      <c r="AG103" s="42">
        <f t="shared" si="5"/>
        <v>0</v>
      </c>
      <c r="AH103" s="42">
        <f t="shared" si="8"/>
        <v>-6</v>
      </c>
      <c r="AI103" s="43">
        <f t="shared" si="9"/>
        <v>0.01</v>
      </c>
      <c r="AJ103" s="2"/>
      <c r="AK103" s="2"/>
      <c r="AL103" s="3"/>
      <c r="AM103" s="1"/>
      <c r="AN103" s="3"/>
      <c r="AO103" s="2"/>
      <c r="AP103" s="4"/>
      <c r="AQ103" s="2"/>
      <c r="AR103" s="5"/>
      <c r="AS103" s="1"/>
      <c r="AT103" s="1"/>
      <c r="AU103" s="1"/>
      <c r="AV103" s="1"/>
      <c r="AW103" s="1"/>
      <c r="AX103" s="1"/>
      <c r="AY103" s="1"/>
      <c r="AZ103" s="1"/>
    </row>
    <row r="104" spans="27:52" x14ac:dyDescent="0.25">
      <c r="AA104" s="1"/>
      <c r="AB104" s="1"/>
      <c r="AC104" s="31"/>
      <c r="AD104" s="32"/>
      <c r="AE104" s="33">
        <f t="shared" si="6"/>
        <v>19</v>
      </c>
      <c r="AF104" s="41">
        <f t="shared" si="7"/>
        <v>-6</v>
      </c>
      <c r="AG104" s="42">
        <f t="shared" si="5"/>
        <v>0</v>
      </c>
      <c r="AH104" s="42">
        <f t="shared" si="8"/>
        <v>-6</v>
      </c>
      <c r="AI104" s="43">
        <f t="shared" si="9"/>
        <v>0.01</v>
      </c>
      <c r="AJ104" s="2"/>
      <c r="AK104" s="2"/>
      <c r="AL104" s="3"/>
      <c r="AM104" s="1"/>
      <c r="AN104" s="3"/>
      <c r="AO104" s="2"/>
      <c r="AP104" s="4"/>
      <c r="AQ104" s="2"/>
      <c r="AR104" s="5"/>
      <c r="AS104" s="1"/>
      <c r="AT104" s="1"/>
      <c r="AU104" s="1"/>
      <c r="AV104" s="1"/>
      <c r="AW104" s="1"/>
      <c r="AX104" s="1"/>
      <c r="AY104" s="1"/>
      <c r="AZ104" s="1"/>
    </row>
    <row r="105" spans="27:52" x14ac:dyDescent="0.25">
      <c r="AA105" s="1"/>
      <c r="AB105" s="1"/>
      <c r="AC105" s="31"/>
      <c r="AD105" s="32"/>
      <c r="AE105" s="33">
        <f t="shared" si="6"/>
        <v>19</v>
      </c>
      <c r="AF105" s="41">
        <f t="shared" si="7"/>
        <v>-6</v>
      </c>
      <c r="AG105" s="42">
        <f t="shared" si="5"/>
        <v>0</v>
      </c>
      <c r="AH105" s="42">
        <f t="shared" si="8"/>
        <v>-6</v>
      </c>
      <c r="AI105" s="43">
        <f t="shared" si="9"/>
        <v>0.01</v>
      </c>
      <c r="AJ105" s="2"/>
      <c r="AK105" s="2"/>
      <c r="AL105" s="3"/>
      <c r="AM105" s="1"/>
      <c r="AN105" s="3"/>
      <c r="AO105" s="2"/>
      <c r="AP105" s="4"/>
      <c r="AQ105" s="2"/>
      <c r="AR105" s="5"/>
      <c r="AS105" s="1"/>
      <c r="AT105" s="1"/>
      <c r="AU105" s="1"/>
      <c r="AV105" s="1"/>
      <c r="AW105" s="1"/>
      <c r="AX105" s="1"/>
      <c r="AY105" s="1"/>
      <c r="AZ105" s="1"/>
    </row>
    <row r="106" spans="27:52" x14ac:dyDescent="0.25">
      <c r="AA106" s="1"/>
      <c r="AB106" s="1"/>
      <c r="AC106" s="31"/>
      <c r="AD106" s="32"/>
      <c r="AE106" s="33">
        <f t="shared" si="6"/>
        <v>19</v>
      </c>
      <c r="AF106" s="41">
        <f t="shared" si="7"/>
        <v>-6</v>
      </c>
      <c r="AG106" s="42">
        <f t="shared" si="5"/>
        <v>0</v>
      </c>
      <c r="AH106" s="42">
        <f t="shared" si="8"/>
        <v>-6</v>
      </c>
      <c r="AI106" s="43">
        <f t="shared" si="9"/>
        <v>0.01</v>
      </c>
      <c r="AJ106" s="2"/>
      <c r="AK106" s="2"/>
      <c r="AL106" s="3"/>
      <c r="AM106" s="1"/>
      <c r="AN106" s="3"/>
      <c r="AO106" s="2"/>
      <c r="AP106" s="4"/>
      <c r="AQ106" s="2"/>
      <c r="AR106" s="5"/>
      <c r="AS106" s="1"/>
      <c r="AT106" s="1"/>
      <c r="AU106" s="1"/>
      <c r="AV106" s="1"/>
      <c r="AW106" s="1"/>
      <c r="AX106" s="1"/>
      <c r="AY106" s="1"/>
      <c r="AZ106" s="1"/>
    </row>
    <row r="107" spans="27:52" x14ac:dyDescent="0.25">
      <c r="AA107" s="1"/>
      <c r="AB107" s="1"/>
      <c r="AC107" s="31"/>
      <c r="AD107" s="32"/>
      <c r="AE107" s="33">
        <f t="shared" si="6"/>
        <v>19</v>
      </c>
      <c r="AF107" s="41">
        <f t="shared" si="7"/>
        <v>-6</v>
      </c>
      <c r="AG107" s="42">
        <f t="shared" si="5"/>
        <v>0</v>
      </c>
      <c r="AH107" s="42">
        <f t="shared" si="8"/>
        <v>-6</v>
      </c>
      <c r="AI107" s="43">
        <f t="shared" si="9"/>
        <v>0.01</v>
      </c>
      <c r="AJ107" s="2"/>
      <c r="AK107" s="2"/>
      <c r="AL107" s="3"/>
      <c r="AM107" s="1"/>
      <c r="AN107" s="3"/>
      <c r="AO107" s="2"/>
      <c r="AP107" s="4"/>
      <c r="AQ107" s="2"/>
      <c r="AR107" s="5"/>
      <c r="AS107" s="1"/>
      <c r="AT107" s="1"/>
      <c r="AU107" s="1"/>
      <c r="AV107" s="1"/>
      <c r="AW107" s="1"/>
      <c r="AX107" s="1"/>
      <c r="AY107" s="1"/>
      <c r="AZ107" s="1"/>
    </row>
    <row r="108" spans="27:52" x14ac:dyDescent="0.25">
      <c r="AA108" s="1"/>
      <c r="AB108" s="1"/>
      <c r="AC108" s="31"/>
      <c r="AD108" s="32"/>
      <c r="AE108" s="33">
        <f t="shared" si="6"/>
        <v>19</v>
      </c>
      <c r="AF108" s="41">
        <f t="shared" si="7"/>
        <v>-6</v>
      </c>
      <c r="AG108" s="42">
        <f t="shared" si="5"/>
        <v>0</v>
      </c>
      <c r="AH108" s="42">
        <f t="shared" si="8"/>
        <v>-6</v>
      </c>
      <c r="AI108" s="43">
        <f t="shared" si="9"/>
        <v>0.01</v>
      </c>
      <c r="AJ108" s="2"/>
      <c r="AK108" s="2"/>
      <c r="AL108" s="3"/>
      <c r="AM108" s="1"/>
      <c r="AN108" s="3"/>
      <c r="AO108" s="2"/>
      <c r="AP108" s="4"/>
      <c r="AQ108" s="2"/>
      <c r="AR108" s="5"/>
      <c r="AS108" s="1"/>
      <c r="AT108" s="1"/>
      <c r="AU108" s="1"/>
      <c r="AV108" s="1"/>
      <c r="AW108" s="1"/>
      <c r="AX108" s="1"/>
      <c r="AY108" s="1"/>
      <c r="AZ108" s="1"/>
    </row>
    <row r="109" spans="27:52" x14ac:dyDescent="0.25">
      <c r="AA109" s="1"/>
      <c r="AB109" s="1"/>
      <c r="AC109" s="31"/>
      <c r="AD109" s="32"/>
      <c r="AE109" s="33">
        <f t="shared" si="6"/>
        <v>19</v>
      </c>
      <c r="AF109" s="41">
        <f t="shared" si="7"/>
        <v>-6</v>
      </c>
      <c r="AG109" s="42">
        <f t="shared" si="5"/>
        <v>0</v>
      </c>
      <c r="AH109" s="42">
        <f t="shared" si="8"/>
        <v>-6</v>
      </c>
      <c r="AI109" s="43">
        <f t="shared" si="9"/>
        <v>0.01</v>
      </c>
      <c r="AJ109" s="2"/>
      <c r="AK109" s="2"/>
      <c r="AL109" s="3"/>
      <c r="AM109" s="1"/>
      <c r="AN109" s="3"/>
      <c r="AO109" s="2"/>
      <c r="AP109" s="4"/>
      <c r="AQ109" s="2"/>
      <c r="AR109" s="5"/>
      <c r="AS109" s="1"/>
      <c r="AT109" s="1"/>
      <c r="AU109" s="1"/>
      <c r="AV109" s="1"/>
      <c r="AW109" s="1"/>
      <c r="AX109" s="1"/>
      <c r="AY109" s="1"/>
      <c r="AZ109" s="1"/>
    </row>
    <row r="110" spans="27:52" x14ac:dyDescent="0.25">
      <c r="AA110" s="1"/>
      <c r="AB110" s="1"/>
      <c r="AC110" s="31"/>
      <c r="AD110" s="32"/>
      <c r="AE110" s="33">
        <f t="shared" si="6"/>
        <v>19</v>
      </c>
      <c r="AF110" s="41">
        <f t="shared" si="7"/>
        <v>-6</v>
      </c>
      <c r="AG110" s="42">
        <f t="shared" si="5"/>
        <v>0</v>
      </c>
      <c r="AH110" s="42">
        <f t="shared" si="8"/>
        <v>-6</v>
      </c>
      <c r="AI110" s="43">
        <f t="shared" si="9"/>
        <v>0.01</v>
      </c>
      <c r="AJ110" s="2"/>
      <c r="AK110" s="2"/>
      <c r="AL110" s="3"/>
      <c r="AM110" s="1"/>
      <c r="AN110" s="3"/>
      <c r="AO110" s="2"/>
      <c r="AP110" s="4"/>
      <c r="AQ110" s="2"/>
      <c r="AR110" s="5"/>
      <c r="AS110" s="1"/>
      <c r="AT110" s="1"/>
      <c r="AU110" s="1"/>
      <c r="AV110" s="1"/>
      <c r="AW110" s="1"/>
      <c r="AX110" s="1"/>
      <c r="AY110" s="1"/>
      <c r="AZ110" s="1"/>
    </row>
    <row r="111" spans="27:52" x14ac:dyDescent="0.25">
      <c r="AA111" s="1"/>
      <c r="AB111" s="1"/>
      <c r="AC111" s="31"/>
      <c r="AD111" s="32"/>
      <c r="AE111" s="33">
        <f t="shared" si="6"/>
        <v>19</v>
      </c>
      <c r="AF111" s="41">
        <f t="shared" si="7"/>
        <v>-6</v>
      </c>
      <c r="AG111" s="42">
        <f t="shared" si="5"/>
        <v>0</v>
      </c>
      <c r="AH111" s="42">
        <f t="shared" si="8"/>
        <v>-6</v>
      </c>
      <c r="AI111" s="43">
        <f t="shared" si="9"/>
        <v>0.01</v>
      </c>
      <c r="AJ111" s="2"/>
      <c r="AK111" s="2"/>
      <c r="AL111" s="3"/>
      <c r="AM111" s="1"/>
      <c r="AN111" s="3"/>
      <c r="AO111" s="2"/>
      <c r="AP111" s="4"/>
      <c r="AQ111" s="2"/>
      <c r="AR111" s="5"/>
      <c r="AS111" s="1"/>
      <c r="AT111" s="1"/>
      <c r="AU111" s="1"/>
      <c r="AV111" s="1"/>
      <c r="AW111" s="1"/>
      <c r="AX111" s="1"/>
      <c r="AY111" s="1"/>
      <c r="AZ111" s="1"/>
    </row>
    <row r="112" spans="27:52" x14ac:dyDescent="0.25">
      <c r="AA112" s="1"/>
      <c r="AB112" s="1"/>
      <c r="AC112" s="31"/>
      <c r="AD112" s="32"/>
      <c r="AE112" s="33">
        <f t="shared" si="6"/>
        <v>19</v>
      </c>
      <c r="AF112" s="41">
        <f t="shared" si="7"/>
        <v>-6</v>
      </c>
      <c r="AG112" s="42">
        <f t="shared" si="5"/>
        <v>0</v>
      </c>
      <c r="AH112" s="42">
        <f t="shared" si="8"/>
        <v>-6</v>
      </c>
      <c r="AI112" s="43">
        <f t="shared" si="9"/>
        <v>0.01</v>
      </c>
      <c r="AJ112" s="2"/>
      <c r="AK112" s="2"/>
      <c r="AL112" s="3"/>
      <c r="AM112" s="1"/>
      <c r="AN112" s="3"/>
      <c r="AO112" s="2"/>
      <c r="AP112" s="4"/>
      <c r="AQ112" s="2"/>
      <c r="AR112" s="5"/>
      <c r="AS112" s="1"/>
      <c r="AT112" s="1"/>
      <c r="AU112" s="1"/>
      <c r="AV112" s="1"/>
      <c r="AW112" s="1"/>
      <c r="AX112" s="1"/>
      <c r="AY112" s="1"/>
      <c r="AZ112" s="1"/>
    </row>
    <row r="113" spans="27:52" x14ac:dyDescent="0.25">
      <c r="AA113" s="1"/>
      <c r="AB113" s="1"/>
      <c r="AC113" s="31"/>
      <c r="AD113" s="32"/>
      <c r="AE113" s="33">
        <f t="shared" si="6"/>
        <v>19</v>
      </c>
      <c r="AF113" s="41">
        <f t="shared" si="7"/>
        <v>-6</v>
      </c>
      <c r="AG113" s="42">
        <f t="shared" si="5"/>
        <v>0</v>
      </c>
      <c r="AH113" s="42">
        <f t="shared" si="8"/>
        <v>-6</v>
      </c>
      <c r="AI113" s="43">
        <f t="shared" si="9"/>
        <v>0.01</v>
      </c>
      <c r="AJ113" s="2"/>
      <c r="AK113" s="2"/>
      <c r="AL113" s="3"/>
      <c r="AM113" s="1"/>
      <c r="AN113" s="3"/>
      <c r="AO113" s="2"/>
      <c r="AP113" s="4"/>
      <c r="AQ113" s="2"/>
      <c r="AR113" s="5"/>
      <c r="AS113" s="1"/>
      <c r="AT113" s="1"/>
      <c r="AU113" s="1"/>
      <c r="AV113" s="1"/>
      <c r="AW113" s="1"/>
      <c r="AX113" s="1"/>
      <c r="AY113" s="1"/>
      <c r="AZ113" s="1"/>
    </row>
    <row r="114" spans="27:52" x14ac:dyDescent="0.25">
      <c r="AA114" s="1"/>
      <c r="AB114" s="1"/>
      <c r="AC114" s="31"/>
      <c r="AD114" s="32"/>
      <c r="AE114" s="33">
        <f t="shared" si="6"/>
        <v>19</v>
      </c>
      <c r="AF114" s="41">
        <f t="shared" si="7"/>
        <v>-6</v>
      </c>
      <c r="AG114" s="42">
        <f t="shared" si="5"/>
        <v>0</v>
      </c>
      <c r="AH114" s="42">
        <f t="shared" si="8"/>
        <v>-6</v>
      </c>
      <c r="AI114" s="43">
        <f t="shared" si="9"/>
        <v>0.01</v>
      </c>
      <c r="AJ114" s="2"/>
      <c r="AK114" s="2"/>
      <c r="AL114" s="3"/>
      <c r="AM114" s="1"/>
      <c r="AN114" s="3"/>
      <c r="AO114" s="2"/>
      <c r="AP114" s="4"/>
      <c r="AQ114" s="2"/>
      <c r="AR114" s="5"/>
      <c r="AS114" s="1"/>
      <c r="AT114" s="1"/>
      <c r="AU114" s="1"/>
      <c r="AV114" s="1"/>
      <c r="AW114" s="1"/>
      <c r="AX114" s="1"/>
      <c r="AY114" s="1"/>
      <c r="AZ114" s="1"/>
    </row>
    <row r="115" spans="27:52" x14ac:dyDescent="0.25">
      <c r="AA115" s="1"/>
      <c r="AB115" s="1"/>
      <c r="AC115" s="31"/>
      <c r="AD115" s="32"/>
      <c r="AE115" s="33">
        <f t="shared" si="6"/>
        <v>19</v>
      </c>
      <c r="AF115" s="41">
        <f t="shared" si="7"/>
        <v>-6</v>
      </c>
      <c r="AG115" s="42">
        <f t="shared" si="5"/>
        <v>0</v>
      </c>
      <c r="AH115" s="42">
        <f t="shared" si="8"/>
        <v>-6</v>
      </c>
      <c r="AI115" s="43">
        <f t="shared" si="9"/>
        <v>0.01</v>
      </c>
      <c r="AJ115" s="2"/>
      <c r="AK115" s="2"/>
      <c r="AL115" s="3"/>
      <c r="AM115" s="1"/>
      <c r="AN115" s="3"/>
      <c r="AO115" s="2"/>
      <c r="AP115" s="4"/>
      <c r="AQ115" s="2"/>
      <c r="AR115" s="5"/>
      <c r="AS115" s="1"/>
      <c r="AT115" s="1"/>
      <c r="AU115" s="1"/>
      <c r="AV115" s="1"/>
      <c r="AW115" s="1"/>
      <c r="AX115" s="1"/>
      <c r="AY115" s="1"/>
      <c r="AZ115" s="1"/>
    </row>
    <row r="116" spans="27:52" x14ac:dyDescent="0.25">
      <c r="AA116" s="1"/>
      <c r="AB116" s="1"/>
      <c r="AC116" s="31"/>
      <c r="AD116" s="32"/>
      <c r="AE116" s="33">
        <f t="shared" si="6"/>
        <v>19</v>
      </c>
      <c r="AF116" s="41">
        <f t="shared" si="7"/>
        <v>-6</v>
      </c>
      <c r="AG116" s="42">
        <f t="shared" si="5"/>
        <v>0</v>
      </c>
      <c r="AH116" s="42">
        <f t="shared" si="8"/>
        <v>-6</v>
      </c>
      <c r="AI116" s="43">
        <f t="shared" si="9"/>
        <v>0.01</v>
      </c>
      <c r="AJ116" s="2"/>
      <c r="AK116" s="2"/>
      <c r="AL116" s="3"/>
      <c r="AM116" s="1"/>
      <c r="AN116" s="3"/>
      <c r="AO116" s="2"/>
      <c r="AP116" s="4"/>
      <c r="AQ116" s="2"/>
      <c r="AR116" s="5"/>
      <c r="AS116" s="1"/>
      <c r="AT116" s="1"/>
      <c r="AU116" s="1"/>
      <c r="AV116" s="1"/>
      <c r="AW116" s="1"/>
      <c r="AX116" s="1"/>
      <c r="AY116" s="1"/>
      <c r="AZ116" s="1"/>
    </row>
    <row r="117" spans="27:52" x14ac:dyDescent="0.25">
      <c r="AA117" s="1"/>
      <c r="AB117" s="1"/>
      <c r="AC117" s="31"/>
      <c r="AD117" s="32"/>
      <c r="AE117" s="33">
        <f t="shared" si="6"/>
        <v>19</v>
      </c>
      <c r="AF117" s="41">
        <f t="shared" si="7"/>
        <v>-6</v>
      </c>
      <c r="AG117" s="42">
        <f t="shared" si="5"/>
        <v>0</v>
      </c>
      <c r="AH117" s="42">
        <f t="shared" si="8"/>
        <v>-6</v>
      </c>
      <c r="AI117" s="43">
        <f t="shared" si="9"/>
        <v>0.01</v>
      </c>
      <c r="AJ117" s="2"/>
      <c r="AK117" s="2"/>
      <c r="AL117" s="3"/>
      <c r="AM117" s="1"/>
      <c r="AN117" s="3"/>
      <c r="AO117" s="2"/>
      <c r="AP117" s="4"/>
      <c r="AQ117" s="2"/>
      <c r="AR117" s="5"/>
      <c r="AS117" s="1"/>
      <c r="AT117" s="1"/>
      <c r="AU117" s="1"/>
      <c r="AV117" s="1"/>
      <c r="AW117" s="1"/>
      <c r="AX117" s="1"/>
      <c r="AY117" s="1"/>
      <c r="AZ117" s="1"/>
    </row>
    <row r="118" spans="27:52" x14ac:dyDescent="0.25">
      <c r="AA118" s="1"/>
      <c r="AB118" s="1"/>
      <c r="AC118" s="31"/>
      <c r="AD118" s="32"/>
      <c r="AE118" s="33">
        <f t="shared" si="6"/>
        <v>19</v>
      </c>
      <c r="AF118" s="41">
        <f t="shared" si="7"/>
        <v>-6</v>
      </c>
      <c r="AG118" s="42">
        <f t="shared" si="5"/>
        <v>0</v>
      </c>
      <c r="AH118" s="42">
        <f t="shared" si="8"/>
        <v>-6</v>
      </c>
      <c r="AI118" s="43">
        <f t="shared" si="9"/>
        <v>0.01</v>
      </c>
      <c r="AJ118" s="2"/>
      <c r="AK118" s="2"/>
      <c r="AL118" s="3"/>
      <c r="AM118" s="1"/>
      <c r="AN118" s="3"/>
      <c r="AO118" s="2"/>
      <c r="AP118" s="4"/>
      <c r="AQ118" s="2"/>
      <c r="AR118" s="5"/>
      <c r="AS118" s="1"/>
      <c r="AT118" s="1"/>
      <c r="AU118" s="1"/>
      <c r="AV118" s="1"/>
      <c r="AW118" s="1"/>
      <c r="AX118" s="1"/>
      <c r="AY118" s="1"/>
      <c r="AZ118" s="1"/>
    </row>
    <row r="119" spans="27:52" x14ac:dyDescent="0.25">
      <c r="AA119" s="1"/>
      <c r="AB119" s="1"/>
      <c r="AC119" s="31"/>
      <c r="AD119" s="32"/>
      <c r="AE119" s="33">
        <f t="shared" si="6"/>
        <v>19</v>
      </c>
      <c r="AF119" s="41">
        <f t="shared" si="7"/>
        <v>-6</v>
      </c>
      <c r="AG119" s="42">
        <f t="shared" si="5"/>
        <v>0</v>
      </c>
      <c r="AH119" s="42">
        <f t="shared" si="8"/>
        <v>-6</v>
      </c>
      <c r="AI119" s="43">
        <f t="shared" si="9"/>
        <v>0.01</v>
      </c>
      <c r="AJ119" s="2"/>
      <c r="AK119" s="2"/>
      <c r="AL119" s="3"/>
      <c r="AM119" s="1"/>
      <c r="AN119" s="3"/>
      <c r="AO119" s="2"/>
      <c r="AP119" s="4"/>
      <c r="AQ119" s="2"/>
      <c r="AR119" s="5"/>
      <c r="AS119" s="1"/>
      <c r="AT119" s="1"/>
      <c r="AU119" s="1"/>
      <c r="AV119" s="1"/>
      <c r="AW119" s="1"/>
      <c r="AX119" s="1"/>
      <c r="AY119" s="1"/>
      <c r="AZ119" s="1"/>
    </row>
    <row r="120" spans="27:52" x14ac:dyDescent="0.25">
      <c r="AA120" s="1"/>
      <c r="AB120" s="1"/>
      <c r="AC120" s="31"/>
      <c r="AD120" s="32"/>
      <c r="AE120" s="33">
        <f t="shared" si="6"/>
        <v>19</v>
      </c>
      <c r="AF120" s="41">
        <f t="shared" si="7"/>
        <v>-6</v>
      </c>
      <c r="AG120" s="42">
        <f t="shared" si="5"/>
        <v>0</v>
      </c>
      <c r="AH120" s="42">
        <f t="shared" si="8"/>
        <v>-6</v>
      </c>
      <c r="AI120" s="43">
        <f t="shared" si="9"/>
        <v>0.01</v>
      </c>
      <c r="AJ120" s="2"/>
      <c r="AK120" s="2"/>
      <c r="AL120" s="3"/>
      <c r="AM120" s="1"/>
      <c r="AN120" s="3"/>
      <c r="AO120" s="2"/>
      <c r="AP120" s="4"/>
      <c r="AQ120" s="2"/>
      <c r="AR120" s="5"/>
      <c r="AS120" s="1"/>
      <c r="AT120" s="1"/>
      <c r="AU120" s="1"/>
      <c r="AV120" s="1"/>
      <c r="AW120" s="1"/>
      <c r="AX120" s="1"/>
      <c r="AY120" s="1"/>
      <c r="AZ120" s="1"/>
    </row>
    <row r="121" spans="27:52" x14ac:dyDescent="0.25">
      <c r="AA121" s="1"/>
      <c r="AB121" s="1"/>
      <c r="AC121" s="31"/>
      <c r="AD121" s="32"/>
      <c r="AE121" s="33">
        <f t="shared" si="6"/>
        <v>19</v>
      </c>
      <c r="AF121" s="41">
        <f t="shared" si="7"/>
        <v>-6</v>
      </c>
      <c r="AG121" s="42">
        <f t="shared" si="5"/>
        <v>0</v>
      </c>
      <c r="AH121" s="42">
        <f t="shared" si="8"/>
        <v>-6</v>
      </c>
      <c r="AI121" s="43">
        <f t="shared" si="9"/>
        <v>0.01</v>
      </c>
      <c r="AJ121" s="2"/>
      <c r="AK121" s="2"/>
      <c r="AL121" s="3"/>
      <c r="AM121" s="1"/>
      <c r="AN121" s="3"/>
      <c r="AO121" s="2"/>
      <c r="AP121" s="4"/>
      <c r="AQ121" s="2"/>
      <c r="AR121" s="5"/>
      <c r="AS121" s="1"/>
      <c r="AT121" s="1"/>
      <c r="AU121" s="1"/>
      <c r="AV121" s="1"/>
      <c r="AW121" s="1"/>
      <c r="AX121" s="1"/>
      <c r="AY121" s="1"/>
      <c r="AZ121" s="1"/>
    </row>
    <row r="122" spans="27:52" x14ac:dyDescent="0.25">
      <c r="AA122" s="1"/>
      <c r="AB122" s="1"/>
      <c r="AC122" s="31"/>
      <c r="AD122" s="32"/>
      <c r="AE122" s="33">
        <f t="shared" si="6"/>
        <v>19</v>
      </c>
      <c r="AF122" s="41">
        <f t="shared" si="7"/>
        <v>-6</v>
      </c>
      <c r="AG122" s="42">
        <f t="shared" si="5"/>
        <v>0</v>
      </c>
      <c r="AH122" s="42">
        <f t="shared" si="8"/>
        <v>-6</v>
      </c>
      <c r="AI122" s="43">
        <f t="shared" si="9"/>
        <v>0.01</v>
      </c>
      <c r="AJ122" s="2"/>
      <c r="AK122" s="2"/>
      <c r="AL122" s="3"/>
      <c r="AM122" s="1"/>
      <c r="AN122" s="3"/>
      <c r="AO122" s="2"/>
      <c r="AP122" s="4"/>
      <c r="AQ122" s="2"/>
      <c r="AR122" s="5"/>
      <c r="AS122" s="1"/>
      <c r="AT122" s="1"/>
      <c r="AU122" s="1"/>
      <c r="AV122" s="1"/>
      <c r="AW122" s="1"/>
      <c r="AX122" s="1"/>
      <c r="AY122" s="1"/>
      <c r="AZ122" s="1"/>
    </row>
    <row r="123" spans="27:52" x14ac:dyDescent="0.25">
      <c r="AA123" s="1"/>
      <c r="AB123" s="1"/>
      <c r="AC123" s="31"/>
      <c r="AD123" s="32"/>
      <c r="AE123" s="33">
        <f t="shared" si="6"/>
        <v>19</v>
      </c>
      <c r="AF123" s="41">
        <f t="shared" si="7"/>
        <v>-6</v>
      </c>
      <c r="AG123" s="42">
        <f t="shared" si="5"/>
        <v>0</v>
      </c>
      <c r="AH123" s="42">
        <f t="shared" si="8"/>
        <v>-6</v>
      </c>
      <c r="AI123" s="43">
        <f t="shared" si="9"/>
        <v>0.01</v>
      </c>
      <c r="AJ123" s="2"/>
      <c r="AK123" s="2"/>
      <c r="AL123" s="3"/>
      <c r="AM123" s="1"/>
      <c r="AN123" s="3"/>
      <c r="AO123" s="2"/>
      <c r="AP123" s="4"/>
      <c r="AQ123" s="2"/>
      <c r="AR123" s="5"/>
      <c r="AS123" s="1"/>
      <c r="AT123" s="1"/>
      <c r="AU123" s="1"/>
      <c r="AV123" s="1"/>
      <c r="AW123" s="1"/>
      <c r="AX123" s="1"/>
      <c r="AY123" s="1"/>
      <c r="AZ123" s="1"/>
    </row>
    <row r="124" spans="27:52" x14ac:dyDescent="0.25">
      <c r="AA124" s="1"/>
      <c r="AB124" s="1"/>
      <c r="AC124" s="31"/>
      <c r="AD124" s="32"/>
      <c r="AE124" s="33">
        <f t="shared" si="6"/>
        <v>19</v>
      </c>
      <c r="AF124" s="41">
        <f t="shared" si="7"/>
        <v>-6</v>
      </c>
      <c r="AG124" s="42">
        <f t="shared" si="5"/>
        <v>0</v>
      </c>
      <c r="AH124" s="42">
        <f t="shared" si="8"/>
        <v>-6</v>
      </c>
      <c r="AI124" s="43">
        <f t="shared" si="9"/>
        <v>0.01</v>
      </c>
      <c r="AJ124" s="2"/>
      <c r="AK124" s="2"/>
      <c r="AL124" s="3"/>
      <c r="AM124" s="1"/>
      <c r="AN124" s="3"/>
      <c r="AO124" s="2"/>
      <c r="AP124" s="4"/>
      <c r="AQ124" s="2"/>
      <c r="AR124" s="5"/>
      <c r="AS124" s="1"/>
      <c r="AT124" s="1"/>
      <c r="AU124" s="1"/>
      <c r="AV124" s="1"/>
      <c r="AW124" s="1"/>
      <c r="AX124" s="1"/>
      <c r="AY124" s="1"/>
      <c r="AZ124" s="1"/>
    </row>
    <row r="125" spans="27:52" x14ac:dyDescent="0.25">
      <c r="AA125" s="1"/>
      <c r="AB125" s="1"/>
      <c r="AC125" s="31"/>
      <c r="AD125" s="32"/>
      <c r="AE125" s="33">
        <f t="shared" si="6"/>
        <v>19</v>
      </c>
      <c r="AF125" s="41">
        <f t="shared" si="7"/>
        <v>-6</v>
      </c>
      <c r="AG125" s="42">
        <f t="shared" si="5"/>
        <v>0</v>
      </c>
      <c r="AH125" s="42">
        <f t="shared" si="8"/>
        <v>-6</v>
      </c>
      <c r="AI125" s="43">
        <f t="shared" si="9"/>
        <v>0.01</v>
      </c>
      <c r="AJ125" s="2"/>
      <c r="AK125" s="2"/>
      <c r="AL125" s="3"/>
      <c r="AM125" s="1"/>
      <c r="AN125" s="3"/>
      <c r="AO125" s="2"/>
      <c r="AP125" s="4"/>
      <c r="AQ125" s="2"/>
      <c r="AR125" s="5"/>
      <c r="AS125" s="1"/>
      <c r="AT125" s="1"/>
      <c r="AU125" s="1"/>
      <c r="AV125" s="1"/>
      <c r="AW125" s="1"/>
      <c r="AX125" s="1"/>
      <c r="AY125" s="1"/>
      <c r="AZ125" s="1"/>
    </row>
    <row r="126" spans="27:52" x14ac:dyDescent="0.25">
      <c r="AA126" s="1"/>
      <c r="AB126" s="1"/>
      <c r="AC126" s="31"/>
      <c r="AD126" s="32"/>
      <c r="AE126" s="33">
        <f t="shared" si="6"/>
        <v>19</v>
      </c>
      <c r="AF126" s="41">
        <f t="shared" si="7"/>
        <v>-6</v>
      </c>
      <c r="AG126" s="42">
        <f t="shared" si="5"/>
        <v>0</v>
      </c>
      <c r="AH126" s="42">
        <f t="shared" si="8"/>
        <v>-6</v>
      </c>
      <c r="AI126" s="43">
        <f t="shared" si="9"/>
        <v>0.01</v>
      </c>
      <c r="AJ126" s="2"/>
      <c r="AK126" s="2"/>
      <c r="AL126" s="3"/>
      <c r="AM126" s="1"/>
      <c r="AN126" s="3"/>
      <c r="AO126" s="2"/>
      <c r="AP126" s="4"/>
      <c r="AQ126" s="2"/>
      <c r="AR126" s="5"/>
      <c r="AS126" s="1"/>
      <c r="AT126" s="1"/>
      <c r="AU126" s="1"/>
      <c r="AV126" s="1"/>
      <c r="AW126" s="1"/>
      <c r="AX126" s="1"/>
      <c r="AY126" s="1"/>
      <c r="AZ126" s="1"/>
    </row>
    <row r="127" spans="27:52" x14ac:dyDescent="0.25">
      <c r="AA127" s="1"/>
      <c r="AB127" s="1"/>
      <c r="AC127" s="31"/>
      <c r="AD127" s="32"/>
      <c r="AE127" s="33">
        <f t="shared" si="6"/>
        <v>19</v>
      </c>
      <c r="AF127" s="41">
        <f t="shared" si="7"/>
        <v>-6</v>
      </c>
      <c r="AG127" s="42">
        <f t="shared" si="5"/>
        <v>0</v>
      </c>
      <c r="AH127" s="42">
        <f t="shared" si="8"/>
        <v>-6</v>
      </c>
      <c r="AI127" s="43">
        <f t="shared" si="9"/>
        <v>0.01</v>
      </c>
      <c r="AJ127" s="2"/>
      <c r="AK127" s="2"/>
      <c r="AL127" s="3"/>
      <c r="AM127" s="1"/>
      <c r="AN127" s="3"/>
      <c r="AO127" s="2"/>
      <c r="AP127" s="4"/>
      <c r="AQ127" s="2"/>
      <c r="AR127" s="5"/>
      <c r="AS127" s="1"/>
      <c r="AT127" s="1"/>
      <c r="AU127" s="1"/>
      <c r="AV127" s="1"/>
      <c r="AW127" s="1"/>
      <c r="AX127" s="1"/>
      <c r="AY127" s="1"/>
      <c r="AZ127" s="1"/>
    </row>
    <row r="128" spans="27:52" x14ac:dyDescent="0.25">
      <c r="AA128" s="1"/>
      <c r="AB128" s="1"/>
      <c r="AC128" s="31"/>
      <c r="AD128" s="32"/>
      <c r="AE128" s="33">
        <f t="shared" si="6"/>
        <v>19</v>
      </c>
      <c r="AF128" s="41">
        <f t="shared" si="7"/>
        <v>-6</v>
      </c>
      <c r="AG128" s="42">
        <f t="shared" si="5"/>
        <v>0</v>
      </c>
      <c r="AH128" s="42">
        <f t="shared" si="8"/>
        <v>-6</v>
      </c>
      <c r="AI128" s="43">
        <f t="shared" si="9"/>
        <v>0.01</v>
      </c>
      <c r="AJ128" s="2"/>
      <c r="AK128" s="2"/>
      <c r="AL128" s="3"/>
      <c r="AM128" s="1"/>
      <c r="AN128" s="3"/>
      <c r="AO128" s="2"/>
      <c r="AP128" s="4"/>
      <c r="AQ128" s="2"/>
      <c r="AR128" s="5"/>
      <c r="AS128" s="1"/>
      <c r="AT128" s="1"/>
      <c r="AU128" s="1"/>
      <c r="AV128" s="1"/>
      <c r="AW128" s="1"/>
      <c r="AX128" s="1"/>
      <c r="AY128" s="1"/>
      <c r="AZ128" s="1"/>
    </row>
    <row r="129" spans="27:52" x14ac:dyDescent="0.25">
      <c r="AA129" s="1"/>
      <c r="AB129" s="1"/>
      <c r="AC129" s="31"/>
      <c r="AD129" s="32"/>
      <c r="AE129" s="33">
        <f t="shared" si="6"/>
        <v>19</v>
      </c>
      <c r="AF129" s="41">
        <f t="shared" si="7"/>
        <v>-6</v>
      </c>
      <c r="AG129" s="42">
        <f t="shared" si="5"/>
        <v>0</v>
      </c>
      <c r="AH129" s="42">
        <f t="shared" si="8"/>
        <v>-6</v>
      </c>
      <c r="AI129" s="43">
        <f t="shared" si="9"/>
        <v>0.01</v>
      </c>
      <c r="AJ129" s="2"/>
      <c r="AK129" s="2"/>
      <c r="AL129" s="3"/>
      <c r="AM129" s="1"/>
      <c r="AN129" s="3"/>
      <c r="AO129" s="2"/>
      <c r="AP129" s="4"/>
      <c r="AQ129" s="2"/>
      <c r="AR129" s="5"/>
      <c r="AS129" s="1"/>
      <c r="AT129" s="1"/>
      <c r="AU129" s="1"/>
      <c r="AV129" s="1"/>
      <c r="AW129" s="1"/>
      <c r="AX129" s="1"/>
      <c r="AY129" s="1"/>
      <c r="AZ129" s="1"/>
    </row>
    <row r="130" spans="27:52" x14ac:dyDescent="0.25">
      <c r="AA130" s="1"/>
      <c r="AB130" s="1"/>
      <c r="AC130" s="31"/>
      <c r="AD130" s="32"/>
      <c r="AE130" s="33">
        <f t="shared" si="6"/>
        <v>19</v>
      </c>
      <c r="AF130" s="41">
        <f t="shared" si="7"/>
        <v>-6</v>
      </c>
      <c r="AG130" s="42">
        <f t="shared" ref="AG130:AG193" si="10">AI130*(1-(AF130/AH130))^2</f>
        <v>0</v>
      </c>
      <c r="AH130" s="42">
        <f t="shared" si="8"/>
        <v>-6</v>
      </c>
      <c r="AI130" s="43">
        <f t="shared" si="9"/>
        <v>0.01</v>
      </c>
      <c r="AJ130" s="2"/>
      <c r="AK130" s="2"/>
      <c r="AL130" s="3"/>
      <c r="AM130" s="1"/>
      <c r="AN130" s="3"/>
      <c r="AO130" s="2"/>
      <c r="AP130" s="4"/>
      <c r="AQ130" s="2"/>
      <c r="AR130" s="5"/>
      <c r="AS130" s="1"/>
      <c r="AT130" s="1"/>
      <c r="AU130" s="1"/>
      <c r="AV130" s="1"/>
      <c r="AW130" s="1"/>
      <c r="AX130" s="1"/>
      <c r="AY130" s="1"/>
      <c r="AZ130" s="1"/>
    </row>
    <row r="131" spans="27:52" x14ac:dyDescent="0.25">
      <c r="AA131" s="1"/>
      <c r="AB131" s="1"/>
      <c r="AC131" s="31"/>
      <c r="AD131" s="32"/>
      <c r="AE131" s="33">
        <f t="shared" ref="AE131:AE194" si="11">AE130</f>
        <v>19</v>
      </c>
      <c r="AF131" s="41">
        <f t="shared" ref="AF131:AF194" si="12">IF(AF130+(AH130/AE131)&lt;AH130,AH130,AF130+(AH130/AE131))</f>
        <v>-6</v>
      </c>
      <c r="AG131" s="42">
        <f t="shared" si="10"/>
        <v>0</v>
      </c>
      <c r="AH131" s="42">
        <f t="shared" ref="AH131:AH194" si="13">AH130</f>
        <v>-6</v>
      </c>
      <c r="AI131" s="43">
        <f t="shared" ref="AI131:AI194" si="14">AI130</f>
        <v>0.01</v>
      </c>
      <c r="AJ131" s="2"/>
      <c r="AK131" s="2"/>
      <c r="AL131" s="3"/>
      <c r="AM131" s="1"/>
      <c r="AN131" s="3"/>
      <c r="AO131" s="2"/>
      <c r="AP131" s="4"/>
      <c r="AQ131" s="2"/>
      <c r="AR131" s="5"/>
      <c r="AS131" s="1"/>
      <c r="AT131" s="1"/>
      <c r="AU131" s="1"/>
      <c r="AV131" s="1"/>
      <c r="AW131" s="1"/>
      <c r="AX131" s="1"/>
      <c r="AY131" s="1"/>
      <c r="AZ131" s="1"/>
    </row>
    <row r="132" spans="27:52" x14ac:dyDescent="0.25">
      <c r="AA132" s="1"/>
      <c r="AB132" s="1"/>
      <c r="AC132" s="31"/>
      <c r="AD132" s="32"/>
      <c r="AE132" s="33">
        <f t="shared" si="11"/>
        <v>19</v>
      </c>
      <c r="AF132" s="41">
        <f t="shared" si="12"/>
        <v>-6</v>
      </c>
      <c r="AG132" s="42">
        <f t="shared" si="10"/>
        <v>0</v>
      </c>
      <c r="AH132" s="42">
        <f t="shared" si="13"/>
        <v>-6</v>
      </c>
      <c r="AI132" s="43">
        <f t="shared" si="14"/>
        <v>0.01</v>
      </c>
      <c r="AJ132" s="2"/>
      <c r="AK132" s="2"/>
      <c r="AL132" s="3"/>
      <c r="AM132" s="1"/>
      <c r="AN132" s="3"/>
      <c r="AO132" s="2"/>
      <c r="AP132" s="4"/>
      <c r="AQ132" s="2"/>
      <c r="AR132" s="5"/>
      <c r="AS132" s="1"/>
      <c r="AT132" s="1"/>
      <c r="AU132" s="1"/>
      <c r="AV132" s="1"/>
      <c r="AW132" s="1"/>
      <c r="AX132" s="1"/>
      <c r="AY132" s="1"/>
      <c r="AZ132" s="1"/>
    </row>
    <row r="133" spans="27:52" x14ac:dyDescent="0.25">
      <c r="AA133" s="1"/>
      <c r="AB133" s="1"/>
      <c r="AC133" s="31"/>
      <c r="AD133" s="32"/>
      <c r="AE133" s="33">
        <f t="shared" si="11"/>
        <v>19</v>
      </c>
      <c r="AF133" s="41">
        <f t="shared" si="12"/>
        <v>-6</v>
      </c>
      <c r="AG133" s="42">
        <f t="shared" si="10"/>
        <v>0</v>
      </c>
      <c r="AH133" s="42">
        <f t="shared" si="13"/>
        <v>-6</v>
      </c>
      <c r="AI133" s="43">
        <f t="shared" si="14"/>
        <v>0.01</v>
      </c>
      <c r="AJ133" s="2"/>
      <c r="AK133" s="2"/>
      <c r="AL133" s="3"/>
      <c r="AM133" s="1"/>
      <c r="AN133" s="3"/>
      <c r="AO133" s="2"/>
      <c r="AP133" s="4"/>
      <c r="AQ133" s="2"/>
      <c r="AR133" s="5"/>
      <c r="AS133" s="1"/>
      <c r="AT133" s="1"/>
      <c r="AU133" s="1"/>
      <c r="AV133" s="1"/>
      <c r="AW133" s="1"/>
      <c r="AX133" s="1"/>
      <c r="AY133" s="1"/>
      <c r="AZ133" s="1"/>
    </row>
    <row r="134" spans="27:52" x14ac:dyDescent="0.25">
      <c r="AA134" s="1"/>
      <c r="AB134" s="1"/>
      <c r="AC134" s="31"/>
      <c r="AD134" s="32"/>
      <c r="AE134" s="33">
        <f t="shared" si="11"/>
        <v>19</v>
      </c>
      <c r="AF134" s="41">
        <f t="shared" si="12"/>
        <v>-6</v>
      </c>
      <c r="AG134" s="42">
        <f t="shared" si="10"/>
        <v>0</v>
      </c>
      <c r="AH134" s="42">
        <f t="shared" si="13"/>
        <v>-6</v>
      </c>
      <c r="AI134" s="43">
        <f t="shared" si="14"/>
        <v>0.01</v>
      </c>
      <c r="AJ134" s="2"/>
      <c r="AK134" s="2"/>
      <c r="AL134" s="3"/>
      <c r="AM134" s="1"/>
      <c r="AN134" s="3"/>
      <c r="AO134" s="2"/>
      <c r="AP134" s="4"/>
      <c r="AQ134" s="2"/>
      <c r="AR134" s="5"/>
      <c r="AS134" s="1"/>
      <c r="AT134" s="1"/>
      <c r="AU134" s="1"/>
      <c r="AV134" s="1"/>
      <c r="AW134" s="1"/>
      <c r="AX134" s="1"/>
      <c r="AY134" s="1"/>
      <c r="AZ134" s="1"/>
    </row>
    <row r="135" spans="27:52" x14ac:dyDescent="0.25">
      <c r="AA135" s="1"/>
      <c r="AB135" s="1"/>
      <c r="AC135" s="31"/>
      <c r="AD135" s="32"/>
      <c r="AE135" s="33">
        <f t="shared" si="11"/>
        <v>19</v>
      </c>
      <c r="AF135" s="41">
        <f t="shared" si="12"/>
        <v>-6</v>
      </c>
      <c r="AG135" s="42">
        <f t="shared" si="10"/>
        <v>0</v>
      </c>
      <c r="AH135" s="42">
        <f t="shared" si="13"/>
        <v>-6</v>
      </c>
      <c r="AI135" s="43">
        <f t="shared" si="14"/>
        <v>0.01</v>
      </c>
      <c r="AJ135" s="2"/>
      <c r="AK135" s="2"/>
      <c r="AL135" s="3"/>
      <c r="AM135" s="1"/>
      <c r="AN135" s="3"/>
      <c r="AO135" s="2"/>
      <c r="AP135" s="4"/>
      <c r="AQ135" s="2"/>
      <c r="AR135" s="5"/>
      <c r="AS135" s="1"/>
      <c r="AT135" s="1"/>
      <c r="AU135" s="1"/>
      <c r="AV135" s="1"/>
      <c r="AW135" s="1"/>
      <c r="AX135" s="1"/>
      <c r="AY135" s="1"/>
      <c r="AZ135" s="1"/>
    </row>
    <row r="136" spans="27:52" x14ac:dyDescent="0.25">
      <c r="AA136" s="1"/>
      <c r="AB136" s="1"/>
      <c r="AC136" s="31"/>
      <c r="AD136" s="32"/>
      <c r="AE136" s="33">
        <f t="shared" si="11"/>
        <v>19</v>
      </c>
      <c r="AF136" s="41">
        <f t="shared" si="12"/>
        <v>-6</v>
      </c>
      <c r="AG136" s="42">
        <f t="shared" si="10"/>
        <v>0</v>
      </c>
      <c r="AH136" s="42">
        <f t="shared" si="13"/>
        <v>-6</v>
      </c>
      <c r="AI136" s="43">
        <f t="shared" si="14"/>
        <v>0.01</v>
      </c>
      <c r="AJ136" s="2"/>
      <c r="AK136" s="2"/>
      <c r="AL136" s="3"/>
      <c r="AM136" s="1"/>
      <c r="AN136" s="3"/>
      <c r="AO136" s="2"/>
      <c r="AP136" s="4"/>
      <c r="AQ136" s="2"/>
      <c r="AR136" s="5"/>
      <c r="AS136" s="1"/>
      <c r="AT136" s="1"/>
      <c r="AU136" s="1"/>
      <c r="AV136" s="1"/>
      <c r="AW136" s="1"/>
      <c r="AX136" s="1"/>
      <c r="AY136" s="1"/>
      <c r="AZ136" s="1"/>
    </row>
    <row r="137" spans="27:52" x14ac:dyDescent="0.25">
      <c r="AA137" s="1"/>
      <c r="AB137" s="1"/>
      <c r="AC137" s="31"/>
      <c r="AD137" s="32"/>
      <c r="AE137" s="33">
        <f t="shared" si="11"/>
        <v>19</v>
      </c>
      <c r="AF137" s="41">
        <f t="shared" si="12"/>
        <v>-6</v>
      </c>
      <c r="AG137" s="42">
        <f t="shared" si="10"/>
        <v>0</v>
      </c>
      <c r="AH137" s="42">
        <f t="shared" si="13"/>
        <v>-6</v>
      </c>
      <c r="AI137" s="43">
        <f t="shared" si="14"/>
        <v>0.01</v>
      </c>
      <c r="AJ137" s="2"/>
      <c r="AK137" s="2"/>
      <c r="AL137" s="3"/>
      <c r="AM137" s="1"/>
      <c r="AN137" s="3"/>
      <c r="AO137" s="2"/>
      <c r="AP137" s="4"/>
      <c r="AQ137" s="2"/>
      <c r="AR137" s="5"/>
      <c r="AS137" s="1"/>
      <c r="AT137" s="1"/>
      <c r="AU137" s="1"/>
      <c r="AV137" s="1"/>
      <c r="AW137" s="1"/>
      <c r="AX137" s="1"/>
      <c r="AY137" s="1"/>
      <c r="AZ137" s="1"/>
    </row>
    <row r="138" spans="27:52" x14ac:dyDescent="0.25">
      <c r="AA138" s="1"/>
      <c r="AB138" s="1"/>
      <c r="AC138" s="31"/>
      <c r="AD138" s="32"/>
      <c r="AE138" s="33">
        <f t="shared" si="11"/>
        <v>19</v>
      </c>
      <c r="AF138" s="41">
        <f t="shared" si="12"/>
        <v>-6</v>
      </c>
      <c r="AG138" s="42">
        <f t="shared" si="10"/>
        <v>0</v>
      </c>
      <c r="AH138" s="42">
        <f t="shared" si="13"/>
        <v>-6</v>
      </c>
      <c r="AI138" s="43">
        <f t="shared" si="14"/>
        <v>0.01</v>
      </c>
      <c r="AJ138" s="2"/>
      <c r="AK138" s="2"/>
      <c r="AL138" s="3"/>
      <c r="AM138" s="1"/>
      <c r="AN138" s="3"/>
      <c r="AO138" s="2"/>
      <c r="AP138" s="4"/>
      <c r="AQ138" s="2"/>
      <c r="AR138" s="5"/>
      <c r="AS138" s="1"/>
      <c r="AT138" s="1"/>
      <c r="AU138" s="1"/>
      <c r="AV138" s="1"/>
      <c r="AW138" s="1"/>
      <c r="AX138" s="1"/>
      <c r="AY138" s="1"/>
      <c r="AZ138" s="1"/>
    </row>
    <row r="139" spans="27:52" x14ac:dyDescent="0.25">
      <c r="AA139" s="1"/>
      <c r="AB139" s="1"/>
      <c r="AC139" s="31"/>
      <c r="AD139" s="32"/>
      <c r="AE139" s="33">
        <f t="shared" si="11"/>
        <v>19</v>
      </c>
      <c r="AF139" s="41">
        <f t="shared" si="12"/>
        <v>-6</v>
      </c>
      <c r="AG139" s="42">
        <f t="shared" si="10"/>
        <v>0</v>
      </c>
      <c r="AH139" s="42">
        <f t="shared" si="13"/>
        <v>-6</v>
      </c>
      <c r="AI139" s="43">
        <f t="shared" si="14"/>
        <v>0.01</v>
      </c>
      <c r="AJ139" s="2"/>
      <c r="AK139" s="2"/>
      <c r="AL139" s="3"/>
      <c r="AM139" s="1"/>
      <c r="AN139" s="3"/>
      <c r="AO139" s="2"/>
      <c r="AP139" s="4"/>
      <c r="AQ139" s="2"/>
      <c r="AR139" s="5"/>
      <c r="AS139" s="1"/>
      <c r="AT139" s="1"/>
      <c r="AU139" s="1"/>
      <c r="AV139" s="1"/>
      <c r="AW139" s="1"/>
      <c r="AX139" s="1"/>
      <c r="AY139" s="1"/>
      <c r="AZ139" s="1"/>
    </row>
    <row r="140" spans="27:52" x14ac:dyDescent="0.25">
      <c r="AA140" s="1"/>
      <c r="AB140" s="1"/>
      <c r="AC140" s="31"/>
      <c r="AD140" s="32"/>
      <c r="AE140" s="33">
        <f t="shared" si="11"/>
        <v>19</v>
      </c>
      <c r="AF140" s="41">
        <f t="shared" si="12"/>
        <v>-6</v>
      </c>
      <c r="AG140" s="42">
        <f t="shared" si="10"/>
        <v>0</v>
      </c>
      <c r="AH140" s="42">
        <f t="shared" si="13"/>
        <v>-6</v>
      </c>
      <c r="AI140" s="43">
        <f t="shared" si="14"/>
        <v>0.01</v>
      </c>
      <c r="AJ140" s="2"/>
      <c r="AK140" s="2"/>
      <c r="AL140" s="3"/>
      <c r="AM140" s="1"/>
      <c r="AN140" s="3"/>
      <c r="AO140" s="2"/>
      <c r="AP140" s="4"/>
      <c r="AQ140" s="2"/>
      <c r="AR140" s="5"/>
      <c r="AS140" s="1"/>
      <c r="AT140" s="1"/>
      <c r="AU140" s="1"/>
      <c r="AV140" s="1"/>
      <c r="AW140" s="1"/>
      <c r="AX140" s="1"/>
      <c r="AY140" s="1"/>
      <c r="AZ140" s="1"/>
    </row>
    <row r="141" spans="27:52" x14ac:dyDescent="0.25">
      <c r="AA141" s="1"/>
      <c r="AB141" s="1"/>
      <c r="AC141" s="31"/>
      <c r="AD141" s="32"/>
      <c r="AE141" s="33">
        <f t="shared" si="11"/>
        <v>19</v>
      </c>
      <c r="AF141" s="41">
        <f t="shared" si="12"/>
        <v>-6</v>
      </c>
      <c r="AG141" s="42">
        <f t="shared" si="10"/>
        <v>0</v>
      </c>
      <c r="AH141" s="42">
        <f t="shared" si="13"/>
        <v>-6</v>
      </c>
      <c r="AI141" s="43">
        <f t="shared" si="14"/>
        <v>0.01</v>
      </c>
      <c r="AJ141" s="2"/>
      <c r="AK141" s="2"/>
      <c r="AL141" s="3"/>
      <c r="AM141" s="1"/>
      <c r="AN141" s="3"/>
      <c r="AO141" s="2"/>
      <c r="AP141" s="4"/>
      <c r="AQ141" s="2"/>
      <c r="AR141" s="5"/>
      <c r="AS141" s="1"/>
      <c r="AT141" s="1"/>
      <c r="AU141" s="1"/>
      <c r="AV141" s="1"/>
      <c r="AW141" s="1"/>
      <c r="AX141" s="1"/>
      <c r="AY141" s="1"/>
      <c r="AZ141" s="1"/>
    </row>
    <row r="142" spans="27:52" x14ac:dyDescent="0.25">
      <c r="AA142" s="1"/>
      <c r="AB142" s="1"/>
      <c r="AC142" s="31"/>
      <c r="AD142" s="32"/>
      <c r="AE142" s="33">
        <f t="shared" si="11"/>
        <v>19</v>
      </c>
      <c r="AF142" s="41">
        <f t="shared" si="12"/>
        <v>-6</v>
      </c>
      <c r="AG142" s="42">
        <f t="shared" si="10"/>
        <v>0</v>
      </c>
      <c r="AH142" s="42">
        <f t="shared" si="13"/>
        <v>-6</v>
      </c>
      <c r="AI142" s="43">
        <f t="shared" si="14"/>
        <v>0.01</v>
      </c>
      <c r="AJ142" s="2"/>
      <c r="AK142" s="2"/>
      <c r="AL142" s="3"/>
      <c r="AM142" s="1"/>
      <c r="AN142" s="3"/>
      <c r="AO142" s="2"/>
      <c r="AP142" s="4"/>
      <c r="AQ142" s="2"/>
      <c r="AR142" s="5"/>
      <c r="AS142" s="1"/>
      <c r="AT142" s="1"/>
      <c r="AU142" s="1"/>
      <c r="AV142" s="1"/>
      <c r="AW142" s="1"/>
      <c r="AX142" s="1"/>
      <c r="AY142" s="1"/>
      <c r="AZ142" s="1"/>
    </row>
    <row r="143" spans="27:52" x14ac:dyDescent="0.25">
      <c r="AA143" s="1"/>
      <c r="AB143" s="1"/>
      <c r="AC143" s="31"/>
      <c r="AD143" s="32"/>
      <c r="AE143" s="33">
        <f t="shared" si="11"/>
        <v>19</v>
      </c>
      <c r="AF143" s="41">
        <f t="shared" si="12"/>
        <v>-6</v>
      </c>
      <c r="AG143" s="42">
        <f t="shared" si="10"/>
        <v>0</v>
      </c>
      <c r="AH143" s="42">
        <f t="shared" si="13"/>
        <v>-6</v>
      </c>
      <c r="AI143" s="43">
        <f t="shared" si="14"/>
        <v>0.01</v>
      </c>
      <c r="AJ143" s="2"/>
      <c r="AK143" s="2"/>
      <c r="AL143" s="3"/>
      <c r="AM143" s="1"/>
      <c r="AN143" s="3"/>
      <c r="AO143" s="2"/>
      <c r="AP143" s="4"/>
      <c r="AQ143" s="2"/>
      <c r="AR143" s="5"/>
      <c r="AS143" s="1"/>
      <c r="AT143" s="1"/>
      <c r="AU143" s="1"/>
      <c r="AV143" s="1"/>
      <c r="AW143" s="1"/>
      <c r="AX143" s="1"/>
      <c r="AY143" s="1"/>
      <c r="AZ143" s="1"/>
    </row>
    <row r="144" spans="27:52" x14ac:dyDescent="0.25">
      <c r="AA144" s="1"/>
      <c r="AB144" s="1"/>
      <c r="AC144" s="31"/>
      <c r="AD144" s="32"/>
      <c r="AE144" s="33">
        <f t="shared" si="11"/>
        <v>19</v>
      </c>
      <c r="AF144" s="41">
        <f t="shared" si="12"/>
        <v>-6</v>
      </c>
      <c r="AG144" s="42">
        <f t="shared" si="10"/>
        <v>0</v>
      </c>
      <c r="AH144" s="42">
        <f t="shared" si="13"/>
        <v>-6</v>
      </c>
      <c r="AI144" s="43">
        <f t="shared" si="14"/>
        <v>0.01</v>
      </c>
      <c r="AJ144" s="2"/>
      <c r="AK144" s="2"/>
      <c r="AL144" s="3"/>
      <c r="AM144" s="1"/>
      <c r="AN144" s="3"/>
      <c r="AO144" s="2"/>
      <c r="AP144" s="4"/>
      <c r="AQ144" s="2"/>
      <c r="AR144" s="5"/>
      <c r="AS144" s="1"/>
      <c r="AT144" s="1"/>
      <c r="AU144" s="1"/>
      <c r="AV144" s="1"/>
      <c r="AW144" s="1"/>
      <c r="AX144" s="1"/>
      <c r="AY144" s="1"/>
      <c r="AZ144" s="1"/>
    </row>
    <row r="145" spans="27:52" x14ac:dyDescent="0.25">
      <c r="AA145" s="1"/>
      <c r="AB145" s="1"/>
      <c r="AC145" s="31"/>
      <c r="AD145" s="32"/>
      <c r="AE145" s="33">
        <f t="shared" si="11"/>
        <v>19</v>
      </c>
      <c r="AF145" s="41">
        <f t="shared" si="12"/>
        <v>-6</v>
      </c>
      <c r="AG145" s="42">
        <f t="shared" si="10"/>
        <v>0</v>
      </c>
      <c r="AH145" s="42">
        <f t="shared" si="13"/>
        <v>-6</v>
      </c>
      <c r="AI145" s="43">
        <f t="shared" si="14"/>
        <v>0.01</v>
      </c>
      <c r="AJ145" s="2"/>
      <c r="AK145" s="2"/>
      <c r="AL145" s="3"/>
      <c r="AM145" s="1"/>
      <c r="AN145" s="3"/>
      <c r="AO145" s="2"/>
      <c r="AP145" s="4"/>
      <c r="AQ145" s="2"/>
      <c r="AR145" s="5"/>
      <c r="AS145" s="1"/>
      <c r="AT145" s="1"/>
      <c r="AU145" s="1"/>
      <c r="AV145" s="1"/>
      <c r="AW145" s="1"/>
      <c r="AX145" s="1"/>
      <c r="AY145" s="1"/>
      <c r="AZ145" s="1"/>
    </row>
    <row r="146" spans="27:52" x14ac:dyDescent="0.25">
      <c r="AA146" s="1"/>
      <c r="AB146" s="1"/>
      <c r="AC146" s="31"/>
      <c r="AD146" s="32"/>
      <c r="AE146" s="33">
        <f t="shared" si="11"/>
        <v>19</v>
      </c>
      <c r="AF146" s="41">
        <f t="shared" si="12"/>
        <v>-6</v>
      </c>
      <c r="AG146" s="42">
        <f t="shared" si="10"/>
        <v>0</v>
      </c>
      <c r="AH146" s="42">
        <f t="shared" si="13"/>
        <v>-6</v>
      </c>
      <c r="AI146" s="43">
        <f t="shared" si="14"/>
        <v>0.01</v>
      </c>
      <c r="AJ146" s="2"/>
      <c r="AK146" s="2"/>
      <c r="AL146" s="3"/>
      <c r="AM146" s="1"/>
      <c r="AN146" s="3"/>
      <c r="AO146" s="2"/>
      <c r="AP146" s="4"/>
      <c r="AQ146" s="2"/>
      <c r="AR146" s="5"/>
      <c r="AS146" s="1"/>
      <c r="AT146" s="1"/>
      <c r="AU146" s="1"/>
      <c r="AV146" s="1"/>
      <c r="AW146" s="1"/>
      <c r="AX146" s="1"/>
      <c r="AY146" s="1"/>
      <c r="AZ146" s="1"/>
    </row>
    <row r="147" spans="27:52" x14ac:dyDescent="0.25">
      <c r="AA147" s="1"/>
      <c r="AB147" s="1"/>
      <c r="AC147" s="31"/>
      <c r="AD147" s="32"/>
      <c r="AE147" s="33">
        <f t="shared" si="11"/>
        <v>19</v>
      </c>
      <c r="AF147" s="41">
        <f t="shared" si="12"/>
        <v>-6</v>
      </c>
      <c r="AG147" s="42">
        <f t="shared" si="10"/>
        <v>0</v>
      </c>
      <c r="AH147" s="42">
        <f t="shared" si="13"/>
        <v>-6</v>
      </c>
      <c r="AI147" s="43">
        <f t="shared" si="14"/>
        <v>0.01</v>
      </c>
      <c r="AJ147" s="2"/>
      <c r="AK147" s="2"/>
      <c r="AL147" s="3"/>
      <c r="AM147" s="1"/>
      <c r="AN147" s="3"/>
      <c r="AO147" s="2"/>
      <c r="AP147" s="4"/>
      <c r="AQ147" s="2"/>
      <c r="AR147" s="5"/>
      <c r="AS147" s="1"/>
      <c r="AT147" s="1"/>
      <c r="AU147" s="1"/>
      <c r="AV147" s="1"/>
      <c r="AW147" s="1"/>
      <c r="AX147" s="1"/>
      <c r="AY147" s="1"/>
      <c r="AZ147" s="1"/>
    </row>
    <row r="148" spans="27:52" x14ac:dyDescent="0.25">
      <c r="AA148" s="1"/>
      <c r="AB148" s="1"/>
      <c r="AC148" s="31"/>
      <c r="AD148" s="32"/>
      <c r="AE148" s="33">
        <f t="shared" si="11"/>
        <v>19</v>
      </c>
      <c r="AF148" s="41">
        <f t="shared" si="12"/>
        <v>-6</v>
      </c>
      <c r="AG148" s="42">
        <f t="shared" si="10"/>
        <v>0</v>
      </c>
      <c r="AH148" s="42">
        <f t="shared" si="13"/>
        <v>-6</v>
      </c>
      <c r="AI148" s="43">
        <f t="shared" si="14"/>
        <v>0.01</v>
      </c>
      <c r="AJ148" s="2"/>
      <c r="AK148" s="2"/>
      <c r="AL148" s="3"/>
      <c r="AM148" s="1"/>
      <c r="AN148" s="3"/>
      <c r="AO148" s="2"/>
      <c r="AP148" s="4"/>
      <c r="AQ148" s="2"/>
      <c r="AR148" s="5"/>
      <c r="AS148" s="1"/>
      <c r="AT148" s="1"/>
      <c r="AU148" s="1"/>
      <c r="AV148" s="1"/>
      <c r="AW148" s="1"/>
      <c r="AX148" s="1"/>
      <c r="AY148" s="1"/>
      <c r="AZ148" s="1"/>
    </row>
    <row r="149" spans="27:52" x14ac:dyDescent="0.25">
      <c r="AA149" s="1"/>
      <c r="AB149" s="1"/>
      <c r="AC149" s="31"/>
      <c r="AD149" s="32"/>
      <c r="AE149" s="33">
        <f t="shared" si="11"/>
        <v>19</v>
      </c>
      <c r="AF149" s="41">
        <f t="shared" si="12"/>
        <v>-6</v>
      </c>
      <c r="AG149" s="42">
        <f t="shared" si="10"/>
        <v>0</v>
      </c>
      <c r="AH149" s="42">
        <f t="shared" si="13"/>
        <v>-6</v>
      </c>
      <c r="AI149" s="43">
        <f t="shared" si="14"/>
        <v>0.01</v>
      </c>
      <c r="AJ149" s="2"/>
      <c r="AK149" s="2"/>
      <c r="AL149" s="3"/>
      <c r="AM149" s="1"/>
      <c r="AN149" s="3"/>
      <c r="AO149" s="2"/>
      <c r="AP149" s="4"/>
      <c r="AQ149" s="2"/>
      <c r="AR149" s="5"/>
      <c r="AS149" s="1"/>
      <c r="AT149" s="1"/>
      <c r="AU149" s="1"/>
      <c r="AV149" s="1"/>
      <c r="AW149" s="1"/>
      <c r="AX149" s="1"/>
      <c r="AY149" s="1"/>
      <c r="AZ149" s="1"/>
    </row>
    <row r="150" spans="27:52" x14ac:dyDescent="0.25">
      <c r="AA150" s="1"/>
      <c r="AB150" s="1"/>
      <c r="AC150" s="31"/>
      <c r="AD150" s="32"/>
      <c r="AE150" s="33">
        <f t="shared" si="11"/>
        <v>19</v>
      </c>
      <c r="AF150" s="41">
        <f t="shared" si="12"/>
        <v>-6</v>
      </c>
      <c r="AG150" s="42">
        <f t="shared" si="10"/>
        <v>0</v>
      </c>
      <c r="AH150" s="42">
        <f t="shared" si="13"/>
        <v>-6</v>
      </c>
      <c r="AI150" s="43">
        <f t="shared" si="14"/>
        <v>0.01</v>
      </c>
      <c r="AJ150" s="2"/>
      <c r="AK150" s="2"/>
      <c r="AL150" s="3"/>
      <c r="AM150" s="1"/>
      <c r="AN150" s="3"/>
      <c r="AO150" s="2"/>
      <c r="AP150" s="4"/>
      <c r="AQ150" s="2"/>
      <c r="AR150" s="5"/>
      <c r="AS150" s="1"/>
      <c r="AT150" s="1"/>
      <c r="AU150" s="1"/>
      <c r="AV150" s="1"/>
      <c r="AW150" s="1"/>
      <c r="AX150" s="1"/>
      <c r="AY150" s="1"/>
      <c r="AZ150" s="1"/>
    </row>
    <row r="151" spans="27:52" x14ac:dyDescent="0.25">
      <c r="AA151" s="1"/>
      <c r="AB151" s="1"/>
      <c r="AC151" s="31"/>
      <c r="AD151" s="32"/>
      <c r="AE151" s="33">
        <f t="shared" si="11"/>
        <v>19</v>
      </c>
      <c r="AF151" s="41">
        <f t="shared" si="12"/>
        <v>-6</v>
      </c>
      <c r="AG151" s="42">
        <f t="shared" si="10"/>
        <v>0</v>
      </c>
      <c r="AH151" s="42">
        <f t="shared" si="13"/>
        <v>-6</v>
      </c>
      <c r="AI151" s="43">
        <f t="shared" si="14"/>
        <v>0.01</v>
      </c>
      <c r="AJ151" s="2"/>
      <c r="AK151" s="2"/>
      <c r="AL151" s="3"/>
      <c r="AM151" s="1"/>
      <c r="AN151" s="3"/>
      <c r="AO151" s="2"/>
      <c r="AP151" s="4"/>
      <c r="AQ151" s="2"/>
      <c r="AR151" s="5"/>
      <c r="AS151" s="1"/>
      <c r="AT151" s="1"/>
      <c r="AU151" s="1"/>
      <c r="AV151" s="1"/>
      <c r="AW151" s="1"/>
      <c r="AX151" s="1"/>
      <c r="AY151" s="1"/>
      <c r="AZ151" s="1"/>
    </row>
    <row r="152" spans="27:52" x14ac:dyDescent="0.25">
      <c r="AA152" s="1"/>
      <c r="AB152" s="1"/>
      <c r="AC152" s="31"/>
      <c r="AD152" s="32"/>
      <c r="AE152" s="33">
        <f t="shared" si="11"/>
        <v>19</v>
      </c>
      <c r="AF152" s="41">
        <f t="shared" si="12"/>
        <v>-6</v>
      </c>
      <c r="AG152" s="42">
        <f t="shared" si="10"/>
        <v>0</v>
      </c>
      <c r="AH152" s="42">
        <f t="shared" si="13"/>
        <v>-6</v>
      </c>
      <c r="AI152" s="43">
        <f t="shared" si="14"/>
        <v>0.01</v>
      </c>
      <c r="AJ152" s="2"/>
      <c r="AK152" s="2"/>
      <c r="AL152" s="3"/>
      <c r="AM152" s="1"/>
      <c r="AN152" s="3"/>
      <c r="AO152" s="2"/>
      <c r="AP152" s="4"/>
      <c r="AQ152" s="2"/>
      <c r="AR152" s="5"/>
      <c r="AS152" s="1"/>
      <c r="AT152" s="1"/>
      <c r="AU152" s="1"/>
      <c r="AV152" s="1"/>
      <c r="AW152" s="1"/>
      <c r="AX152" s="1"/>
      <c r="AY152" s="1"/>
      <c r="AZ152" s="1"/>
    </row>
    <row r="153" spans="27:52" x14ac:dyDescent="0.25">
      <c r="AA153" s="1"/>
      <c r="AB153" s="1"/>
      <c r="AC153" s="31"/>
      <c r="AD153" s="32"/>
      <c r="AE153" s="33">
        <f t="shared" si="11"/>
        <v>19</v>
      </c>
      <c r="AF153" s="41">
        <f t="shared" si="12"/>
        <v>-6</v>
      </c>
      <c r="AG153" s="42">
        <f t="shared" si="10"/>
        <v>0</v>
      </c>
      <c r="AH153" s="42">
        <f t="shared" si="13"/>
        <v>-6</v>
      </c>
      <c r="AI153" s="43">
        <f t="shared" si="14"/>
        <v>0.01</v>
      </c>
      <c r="AJ153" s="2"/>
      <c r="AK153" s="2"/>
      <c r="AL153" s="3"/>
      <c r="AM153" s="1"/>
      <c r="AN153" s="3"/>
      <c r="AO153" s="2"/>
      <c r="AP153" s="4"/>
      <c r="AQ153" s="2"/>
      <c r="AR153" s="5"/>
      <c r="AS153" s="1"/>
      <c r="AT153" s="1"/>
      <c r="AU153" s="1"/>
      <c r="AV153" s="1"/>
      <c r="AW153" s="1"/>
      <c r="AX153" s="1"/>
      <c r="AY153" s="1"/>
      <c r="AZ153" s="1"/>
    </row>
    <row r="154" spans="27:52" x14ac:dyDescent="0.25">
      <c r="AA154" s="1"/>
      <c r="AB154" s="1"/>
      <c r="AC154" s="31"/>
      <c r="AD154" s="32"/>
      <c r="AE154" s="33">
        <f t="shared" si="11"/>
        <v>19</v>
      </c>
      <c r="AF154" s="41">
        <f t="shared" si="12"/>
        <v>-6</v>
      </c>
      <c r="AG154" s="42">
        <f t="shared" si="10"/>
        <v>0</v>
      </c>
      <c r="AH154" s="42">
        <f t="shared" si="13"/>
        <v>-6</v>
      </c>
      <c r="AI154" s="43">
        <f t="shared" si="14"/>
        <v>0.01</v>
      </c>
      <c r="AJ154" s="2"/>
      <c r="AK154" s="2"/>
      <c r="AL154" s="3"/>
      <c r="AM154" s="1"/>
      <c r="AN154" s="3"/>
      <c r="AO154" s="2"/>
      <c r="AP154" s="4"/>
      <c r="AQ154" s="2"/>
      <c r="AR154" s="5"/>
      <c r="AS154" s="1"/>
      <c r="AT154" s="1"/>
      <c r="AU154" s="1"/>
      <c r="AV154" s="1"/>
      <c r="AW154" s="1"/>
      <c r="AX154" s="1"/>
      <c r="AY154" s="1"/>
      <c r="AZ154" s="1"/>
    </row>
    <row r="155" spans="27:52" x14ac:dyDescent="0.25">
      <c r="AA155" s="1"/>
      <c r="AB155" s="1"/>
      <c r="AC155" s="31"/>
      <c r="AD155" s="32"/>
      <c r="AE155" s="33">
        <f t="shared" si="11"/>
        <v>19</v>
      </c>
      <c r="AF155" s="41">
        <f t="shared" si="12"/>
        <v>-6</v>
      </c>
      <c r="AG155" s="42">
        <f t="shared" si="10"/>
        <v>0</v>
      </c>
      <c r="AH155" s="42">
        <f t="shared" si="13"/>
        <v>-6</v>
      </c>
      <c r="AI155" s="43">
        <f t="shared" si="14"/>
        <v>0.01</v>
      </c>
      <c r="AJ155" s="2"/>
      <c r="AK155" s="2"/>
      <c r="AL155" s="3"/>
      <c r="AM155" s="1"/>
      <c r="AN155" s="3"/>
      <c r="AO155" s="2"/>
      <c r="AP155" s="4"/>
      <c r="AQ155" s="2"/>
      <c r="AR155" s="5"/>
      <c r="AS155" s="1"/>
      <c r="AT155" s="1"/>
      <c r="AU155" s="1"/>
      <c r="AV155" s="1"/>
      <c r="AW155" s="1"/>
      <c r="AX155" s="1"/>
      <c r="AY155" s="1"/>
      <c r="AZ155" s="1"/>
    </row>
    <row r="156" spans="27:52" x14ac:dyDescent="0.25">
      <c r="AA156" s="1"/>
      <c r="AB156" s="1"/>
      <c r="AC156" s="31"/>
      <c r="AD156" s="32"/>
      <c r="AE156" s="33">
        <f t="shared" si="11"/>
        <v>19</v>
      </c>
      <c r="AF156" s="41">
        <f t="shared" si="12"/>
        <v>-6</v>
      </c>
      <c r="AG156" s="42">
        <f t="shared" si="10"/>
        <v>0</v>
      </c>
      <c r="AH156" s="42">
        <f t="shared" si="13"/>
        <v>-6</v>
      </c>
      <c r="AI156" s="43">
        <f t="shared" si="14"/>
        <v>0.01</v>
      </c>
      <c r="AJ156" s="2"/>
      <c r="AK156" s="2"/>
      <c r="AL156" s="3"/>
      <c r="AM156" s="1"/>
      <c r="AN156" s="3"/>
      <c r="AO156" s="2"/>
      <c r="AP156" s="4"/>
      <c r="AQ156" s="2"/>
      <c r="AR156" s="5"/>
      <c r="AS156" s="1"/>
      <c r="AT156" s="1"/>
      <c r="AU156" s="1"/>
      <c r="AV156" s="1"/>
      <c r="AW156" s="1"/>
      <c r="AX156" s="1"/>
      <c r="AY156" s="1"/>
      <c r="AZ156" s="1"/>
    </row>
    <row r="157" spans="27:52" x14ac:dyDescent="0.25">
      <c r="AA157" s="1"/>
      <c r="AB157" s="1"/>
      <c r="AC157" s="31"/>
      <c r="AD157" s="32"/>
      <c r="AE157" s="33">
        <f t="shared" si="11"/>
        <v>19</v>
      </c>
      <c r="AF157" s="41">
        <f t="shared" si="12"/>
        <v>-6</v>
      </c>
      <c r="AG157" s="42">
        <f t="shared" si="10"/>
        <v>0</v>
      </c>
      <c r="AH157" s="42">
        <f t="shared" si="13"/>
        <v>-6</v>
      </c>
      <c r="AI157" s="43">
        <f t="shared" si="14"/>
        <v>0.01</v>
      </c>
      <c r="AJ157" s="2"/>
      <c r="AK157" s="2"/>
      <c r="AL157" s="3"/>
      <c r="AM157" s="1"/>
      <c r="AN157" s="3"/>
      <c r="AO157" s="2"/>
      <c r="AP157" s="4"/>
      <c r="AQ157" s="2"/>
      <c r="AR157" s="5"/>
      <c r="AS157" s="1"/>
      <c r="AT157" s="1"/>
      <c r="AU157" s="1"/>
      <c r="AV157" s="1"/>
      <c r="AW157" s="1"/>
      <c r="AX157" s="1"/>
      <c r="AY157" s="1"/>
      <c r="AZ157" s="1"/>
    </row>
    <row r="158" spans="27:52" x14ac:dyDescent="0.25">
      <c r="AA158" s="1"/>
      <c r="AB158" s="1"/>
      <c r="AC158" s="31"/>
      <c r="AD158" s="32"/>
      <c r="AE158" s="33">
        <f t="shared" si="11"/>
        <v>19</v>
      </c>
      <c r="AF158" s="41">
        <f t="shared" si="12"/>
        <v>-6</v>
      </c>
      <c r="AG158" s="42">
        <f t="shared" si="10"/>
        <v>0</v>
      </c>
      <c r="AH158" s="42">
        <f t="shared" si="13"/>
        <v>-6</v>
      </c>
      <c r="AI158" s="43">
        <f t="shared" si="14"/>
        <v>0.01</v>
      </c>
      <c r="AJ158" s="2"/>
      <c r="AK158" s="2"/>
      <c r="AL158" s="3"/>
      <c r="AM158" s="1"/>
      <c r="AN158" s="3"/>
      <c r="AO158" s="2"/>
      <c r="AP158" s="4"/>
      <c r="AQ158" s="2"/>
      <c r="AR158" s="5"/>
      <c r="AS158" s="1"/>
      <c r="AT158" s="1"/>
      <c r="AU158" s="1"/>
      <c r="AV158" s="1"/>
      <c r="AW158" s="1"/>
      <c r="AX158" s="1"/>
      <c r="AY158" s="1"/>
      <c r="AZ158" s="1"/>
    </row>
    <row r="159" spans="27:52" x14ac:dyDescent="0.25">
      <c r="AA159" s="1"/>
      <c r="AB159" s="1"/>
      <c r="AC159" s="31"/>
      <c r="AD159" s="32"/>
      <c r="AE159" s="33">
        <f t="shared" si="11"/>
        <v>19</v>
      </c>
      <c r="AF159" s="41">
        <f t="shared" si="12"/>
        <v>-6</v>
      </c>
      <c r="AG159" s="42">
        <f t="shared" si="10"/>
        <v>0</v>
      </c>
      <c r="AH159" s="42">
        <f t="shared" si="13"/>
        <v>-6</v>
      </c>
      <c r="AI159" s="43">
        <f t="shared" si="14"/>
        <v>0.01</v>
      </c>
      <c r="AJ159" s="2"/>
      <c r="AK159" s="2"/>
      <c r="AL159" s="3"/>
      <c r="AM159" s="1"/>
      <c r="AN159" s="3"/>
      <c r="AO159" s="2"/>
      <c r="AP159" s="4"/>
      <c r="AQ159" s="2"/>
      <c r="AR159" s="5"/>
      <c r="AS159" s="1"/>
      <c r="AT159" s="1"/>
      <c r="AU159" s="1"/>
      <c r="AV159" s="1"/>
      <c r="AW159" s="1"/>
      <c r="AX159" s="1"/>
      <c r="AY159" s="1"/>
      <c r="AZ159" s="1"/>
    </row>
    <row r="160" spans="27:52" x14ac:dyDescent="0.25">
      <c r="AA160" s="1"/>
      <c r="AB160" s="1"/>
      <c r="AC160" s="31"/>
      <c r="AD160" s="32"/>
      <c r="AE160" s="33">
        <f t="shared" si="11"/>
        <v>19</v>
      </c>
      <c r="AF160" s="41">
        <f t="shared" si="12"/>
        <v>-6</v>
      </c>
      <c r="AG160" s="42">
        <f t="shared" si="10"/>
        <v>0</v>
      </c>
      <c r="AH160" s="42">
        <f t="shared" si="13"/>
        <v>-6</v>
      </c>
      <c r="AI160" s="43">
        <f t="shared" si="14"/>
        <v>0.01</v>
      </c>
      <c r="AJ160" s="2"/>
      <c r="AK160" s="2"/>
      <c r="AL160" s="3"/>
      <c r="AM160" s="1"/>
      <c r="AN160" s="3"/>
      <c r="AO160" s="2"/>
      <c r="AP160" s="4"/>
      <c r="AQ160" s="2"/>
      <c r="AR160" s="5"/>
      <c r="AS160" s="1"/>
      <c r="AT160" s="1"/>
      <c r="AU160" s="1"/>
      <c r="AV160" s="1"/>
      <c r="AW160" s="1"/>
      <c r="AX160" s="1"/>
      <c r="AY160" s="1"/>
      <c r="AZ160" s="1"/>
    </row>
    <row r="161" spans="27:52" x14ac:dyDescent="0.25">
      <c r="AA161" s="1"/>
      <c r="AB161" s="1"/>
      <c r="AC161" s="31"/>
      <c r="AD161" s="32"/>
      <c r="AE161" s="33">
        <f t="shared" si="11"/>
        <v>19</v>
      </c>
      <c r="AF161" s="41">
        <f t="shared" si="12"/>
        <v>-6</v>
      </c>
      <c r="AG161" s="42">
        <f t="shared" si="10"/>
        <v>0</v>
      </c>
      <c r="AH161" s="42">
        <f t="shared" si="13"/>
        <v>-6</v>
      </c>
      <c r="AI161" s="43">
        <f t="shared" si="14"/>
        <v>0.01</v>
      </c>
      <c r="AJ161" s="2"/>
      <c r="AK161" s="2"/>
      <c r="AL161" s="3"/>
      <c r="AM161" s="1"/>
      <c r="AN161" s="3"/>
      <c r="AO161" s="2"/>
      <c r="AP161" s="4"/>
      <c r="AQ161" s="2"/>
      <c r="AR161" s="5"/>
      <c r="AS161" s="1"/>
      <c r="AT161" s="1"/>
      <c r="AU161" s="1"/>
      <c r="AV161" s="1"/>
      <c r="AW161" s="1"/>
      <c r="AX161" s="1"/>
      <c r="AY161" s="1"/>
      <c r="AZ161" s="1"/>
    </row>
    <row r="162" spans="27:52" x14ac:dyDescent="0.25">
      <c r="AA162" s="1"/>
      <c r="AB162" s="1"/>
      <c r="AC162" s="31"/>
      <c r="AD162" s="32"/>
      <c r="AE162" s="33">
        <f t="shared" si="11"/>
        <v>19</v>
      </c>
      <c r="AF162" s="41">
        <f t="shared" si="12"/>
        <v>-6</v>
      </c>
      <c r="AG162" s="42">
        <f t="shared" si="10"/>
        <v>0</v>
      </c>
      <c r="AH162" s="42">
        <f t="shared" si="13"/>
        <v>-6</v>
      </c>
      <c r="AI162" s="43">
        <f t="shared" si="14"/>
        <v>0.01</v>
      </c>
      <c r="AJ162" s="2"/>
      <c r="AK162" s="2"/>
      <c r="AL162" s="3"/>
      <c r="AM162" s="1"/>
      <c r="AN162" s="3"/>
      <c r="AO162" s="2"/>
      <c r="AP162" s="4"/>
      <c r="AQ162" s="2"/>
      <c r="AR162" s="5"/>
      <c r="AS162" s="1"/>
      <c r="AT162" s="1"/>
      <c r="AU162" s="1"/>
      <c r="AV162" s="1"/>
      <c r="AW162" s="1"/>
      <c r="AX162" s="1"/>
      <c r="AY162" s="1"/>
      <c r="AZ162" s="1"/>
    </row>
    <row r="163" spans="27:52" x14ac:dyDescent="0.25">
      <c r="AA163" s="1"/>
      <c r="AB163" s="1"/>
      <c r="AC163" s="31"/>
      <c r="AD163" s="32"/>
      <c r="AE163" s="33">
        <f t="shared" si="11"/>
        <v>19</v>
      </c>
      <c r="AF163" s="41">
        <f t="shared" si="12"/>
        <v>-6</v>
      </c>
      <c r="AG163" s="42">
        <f t="shared" si="10"/>
        <v>0</v>
      </c>
      <c r="AH163" s="42">
        <f t="shared" si="13"/>
        <v>-6</v>
      </c>
      <c r="AI163" s="43">
        <f t="shared" si="14"/>
        <v>0.01</v>
      </c>
      <c r="AJ163" s="2"/>
      <c r="AK163" s="2"/>
      <c r="AL163" s="3"/>
      <c r="AM163" s="1"/>
      <c r="AN163" s="3"/>
      <c r="AO163" s="2"/>
      <c r="AP163" s="4"/>
      <c r="AQ163" s="2"/>
      <c r="AR163" s="5"/>
      <c r="AS163" s="1"/>
      <c r="AT163" s="1"/>
      <c r="AU163" s="1"/>
      <c r="AV163" s="1"/>
      <c r="AW163" s="1"/>
      <c r="AX163" s="1"/>
      <c r="AY163" s="1"/>
      <c r="AZ163" s="1"/>
    </row>
    <row r="164" spans="27:52" x14ac:dyDescent="0.25">
      <c r="AA164" s="1"/>
      <c r="AB164" s="1"/>
      <c r="AC164" s="31"/>
      <c r="AD164" s="32"/>
      <c r="AE164" s="33">
        <f t="shared" si="11"/>
        <v>19</v>
      </c>
      <c r="AF164" s="41">
        <f t="shared" si="12"/>
        <v>-6</v>
      </c>
      <c r="AG164" s="42">
        <f t="shared" si="10"/>
        <v>0</v>
      </c>
      <c r="AH164" s="42">
        <f t="shared" si="13"/>
        <v>-6</v>
      </c>
      <c r="AI164" s="43">
        <f t="shared" si="14"/>
        <v>0.01</v>
      </c>
      <c r="AJ164" s="2"/>
      <c r="AK164" s="2"/>
      <c r="AL164" s="3"/>
      <c r="AM164" s="1"/>
      <c r="AN164" s="3"/>
      <c r="AO164" s="2"/>
      <c r="AP164" s="4"/>
      <c r="AQ164" s="2"/>
      <c r="AR164" s="5"/>
      <c r="AS164" s="1"/>
      <c r="AT164" s="1"/>
      <c r="AU164" s="1"/>
      <c r="AV164" s="1"/>
      <c r="AW164" s="1"/>
      <c r="AX164" s="1"/>
      <c r="AY164" s="1"/>
      <c r="AZ164" s="1"/>
    </row>
    <row r="165" spans="27:52" x14ac:dyDescent="0.25">
      <c r="AA165" s="1"/>
      <c r="AB165" s="1"/>
      <c r="AC165" s="31"/>
      <c r="AD165" s="32"/>
      <c r="AE165" s="33">
        <f t="shared" si="11"/>
        <v>19</v>
      </c>
      <c r="AF165" s="41">
        <f t="shared" si="12"/>
        <v>-6</v>
      </c>
      <c r="AG165" s="42">
        <f t="shared" si="10"/>
        <v>0</v>
      </c>
      <c r="AH165" s="42">
        <f t="shared" si="13"/>
        <v>-6</v>
      </c>
      <c r="AI165" s="43">
        <f t="shared" si="14"/>
        <v>0.01</v>
      </c>
      <c r="AJ165" s="2"/>
      <c r="AK165" s="2"/>
      <c r="AL165" s="3"/>
      <c r="AM165" s="1"/>
      <c r="AN165" s="3"/>
      <c r="AO165" s="2"/>
      <c r="AP165" s="4"/>
      <c r="AQ165" s="2"/>
      <c r="AR165" s="5"/>
      <c r="AS165" s="1"/>
      <c r="AT165" s="1"/>
      <c r="AU165" s="1"/>
      <c r="AV165" s="1"/>
      <c r="AW165" s="1"/>
      <c r="AX165" s="1"/>
      <c r="AY165" s="1"/>
      <c r="AZ165" s="1"/>
    </row>
    <row r="166" spans="27:52" x14ac:dyDescent="0.25">
      <c r="AA166" s="1"/>
      <c r="AB166" s="1"/>
      <c r="AC166" s="31"/>
      <c r="AD166" s="32"/>
      <c r="AE166" s="33">
        <f t="shared" si="11"/>
        <v>19</v>
      </c>
      <c r="AF166" s="41">
        <f t="shared" si="12"/>
        <v>-6</v>
      </c>
      <c r="AG166" s="42">
        <f t="shared" si="10"/>
        <v>0</v>
      </c>
      <c r="AH166" s="42">
        <f t="shared" si="13"/>
        <v>-6</v>
      </c>
      <c r="AI166" s="43">
        <f t="shared" si="14"/>
        <v>0.01</v>
      </c>
      <c r="AJ166" s="2"/>
      <c r="AK166" s="2"/>
      <c r="AL166" s="3"/>
      <c r="AM166" s="1"/>
      <c r="AN166" s="3"/>
      <c r="AO166" s="2"/>
      <c r="AP166" s="4"/>
      <c r="AQ166" s="2"/>
      <c r="AR166" s="5"/>
      <c r="AS166" s="1"/>
      <c r="AT166" s="1"/>
      <c r="AU166" s="1"/>
      <c r="AV166" s="1"/>
      <c r="AW166" s="1"/>
      <c r="AX166" s="1"/>
      <c r="AY166" s="1"/>
      <c r="AZ166" s="1"/>
    </row>
    <row r="167" spans="27:52" x14ac:dyDescent="0.25">
      <c r="AA167" s="1"/>
      <c r="AB167" s="1"/>
      <c r="AC167" s="31"/>
      <c r="AD167" s="32"/>
      <c r="AE167" s="33">
        <f t="shared" si="11"/>
        <v>19</v>
      </c>
      <c r="AF167" s="41">
        <f t="shared" si="12"/>
        <v>-6</v>
      </c>
      <c r="AG167" s="42">
        <f t="shared" si="10"/>
        <v>0</v>
      </c>
      <c r="AH167" s="42">
        <f t="shared" si="13"/>
        <v>-6</v>
      </c>
      <c r="AI167" s="43">
        <f t="shared" si="14"/>
        <v>0.01</v>
      </c>
      <c r="AJ167" s="2"/>
      <c r="AK167" s="2"/>
      <c r="AL167" s="3"/>
      <c r="AM167" s="1"/>
      <c r="AN167" s="3"/>
      <c r="AO167" s="2"/>
      <c r="AP167" s="4"/>
      <c r="AQ167" s="2"/>
      <c r="AR167" s="5"/>
      <c r="AS167" s="1"/>
      <c r="AT167" s="1"/>
      <c r="AU167" s="1"/>
      <c r="AV167" s="1"/>
      <c r="AW167" s="1"/>
      <c r="AX167" s="1"/>
      <c r="AY167" s="1"/>
      <c r="AZ167" s="1"/>
    </row>
    <row r="168" spans="27:52" x14ac:dyDescent="0.25">
      <c r="AA168" s="1"/>
      <c r="AB168" s="1"/>
      <c r="AC168" s="31"/>
      <c r="AD168" s="32"/>
      <c r="AE168" s="33">
        <f t="shared" si="11"/>
        <v>19</v>
      </c>
      <c r="AF168" s="41">
        <f t="shared" si="12"/>
        <v>-6</v>
      </c>
      <c r="AG168" s="42">
        <f t="shared" si="10"/>
        <v>0</v>
      </c>
      <c r="AH168" s="42">
        <f t="shared" si="13"/>
        <v>-6</v>
      </c>
      <c r="AI168" s="43">
        <f t="shared" si="14"/>
        <v>0.01</v>
      </c>
      <c r="AJ168" s="2"/>
      <c r="AK168" s="2"/>
      <c r="AL168" s="3"/>
      <c r="AM168" s="1"/>
      <c r="AN168" s="3"/>
      <c r="AO168" s="2"/>
      <c r="AP168" s="4"/>
      <c r="AQ168" s="2"/>
      <c r="AR168" s="5"/>
      <c r="AS168" s="1"/>
      <c r="AT168" s="1"/>
      <c r="AU168" s="1"/>
      <c r="AV168" s="1"/>
      <c r="AW168" s="1"/>
      <c r="AX168" s="1"/>
      <c r="AY168" s="1"/>
      <c r="AZ168" s="1"/>
    </row>
    <row r="169" spans="27:52" x14ac:dyDescent="0.25">
      <c r="AA169" s="1"/>
      <c r="AB169" s="1"/>
      <c r="AC169" s="31"/>
      <c r="AD169" s="32"/>
      <c r="AE169" s="33">
        <f t="shared" si="11"/>
        <v>19</v>
      </c>
      <c r="AF169" s="41">
        <f t="shared" si="12"/>
        <v>-6</v>
      </c>
      <c r="AG169" s="42">
        <f t="shared" si="10"/>
        <v>0</v>
      </c>
      <c r="AH169" s="42">
        <f t="shared" si="13"/>
        <v>-6</v>
      </c>
      <c r="AI169" s="43">
        <f t="shared" si="14"/>
        <v>0.01</v>
      </c>
      <c r="AJ169" s="2"/>
      <c r="AK169" s="2"/>
      <c r="AL169" s="3"/>
      <c r="AM169" s="1"/>
      <c r="AN169" s="3"/>
      <c r="AO169" s="2"/>
      <c r="AP169" s="4"/>
      <c r="AQ169" s="2"/>
      <c r="AR169" s="5"/>
      <c r="AS169" s="1"/>
      <c r="AT169" s="1"/>
      <c r="AU169" s="1"/>
      <c r="AV169" s="1"/>
      <c r="AW169" s="1"/>
      <c r="AX169" s="1"/>
      <c r="AY169" s="1"/>
      <c r="AZ169" s="1"/>
    </row>
    <row r="170" spans="27:52" x14ac:dyDescent="0.25">
      <c r="AA170" s="1"/>
      <c r="AB170" s="1"/>
      <c r="AC170" s="31"/>
      <c r="AD170" s="32"/>
      <c r="AE170" s="33">
        <f t="shared" si="11"/>
        <v>19</v>
      </c>
      <c r="AF170" s="41">
        <f t="shared" si="12"/>
        <v>-6</v>
      </c>
      <c r="AG170" s="42">
        <f t="shared" si="10"/>
        <v>0</v>
      </c>
      <c r="AH170" s="42">
        <f t="shared" si="13"/>
        <v>-6</v>
      </c>
      <c r="AI170" s="43">
        <f t="shared" si="14"/>
        <v>0.01</v>
      </c>
      <c r="AJ170" s="2"/>
      <c r="AK170" s="2"/>
      <c r="AL170" s="3"/>
      <c r="AM170" s="1"/>
      <c r="AN170" s="3"/>
      <c r="AO170" s="2"/>
      <c r="AP170" s="4"/>
      <c r="AQ170" s="2"/>
      <c r="AR170" s="5"/>
      <c r="AS170" s="1"/>
      <c r="AT170" s="1"/>
      <c r="AU170" s="1"/>
      <c r="AV170" s="1"/>
      <c r="AW170" s="1"/>
      <c r="AX170" s="1"/>
      <c r="AY170" s="1"/>
      <c r="AZ170" s="1"/>
    </row>
    <row r="171" spans="27:52" x14ac:dyDescent="0.25">
      <c r="AA171" s="1"/>
      <c r="AB171" s="1"/>
      <c r="AC171" s="31"/>
      <c r="AD171" s="32"/>
      <c r="AE171" s="33">
        <f t="shared" si="11"/>
        <v>19</v>
      </c>
      <c r="AF171" s="41">
        <f t="shared" si="12"/>
        <v>-6</v>
      </c>
      <c r="AG171" s="42">
        <f t="shared" si="10"/>
        <v>0</v>
      </c>
      <c r="AH171" s="42">
        <f t="shared" si="13"/>
        <v>-6</v>
      </c>
      <c r="AI171" s="43">
        <f t="shared" si="14"/>
        <v>0.01</v>
      </c>
      <c r="AJ171" s="2"/>
      <c r="AK171" s="2"/>
      <c r="AL171" s="3"/>
      <c r="AM171" s="1"/>
      <c r="AN171" s="3"/>
      <c r="AO171" s="2"/>
      <c r="AP171" s="4"/>
      <c r="AQ171" s="2"/>
      <c r="AR171" s="5"/>
      <c r="AS171" s="1"/>
      <c r="AT171" s="1"/>
      <c r="AU171" s="1"/>
      <c r="AV171" s="1"/>
      <c r="AW171" s="1"/>
      <c r="AX171" s="1"/>
      <c r="AY171" s="1"/>
      <c r="AZ171" s="1"/>
    </row>
    <row r="172" spans="27:52" x14ac:dyDescent="0.25">
      <c r="AA172" s="1"/>
      <c r="AB172" s="1"/>
      <c r="AC172" s="31"/>
      <c r="AD172" s="32"/>
      <c r="AE172" s="33">
        <f t="shared" si="11"/>
        <v>19</v>
      </c>
      <c r="AF172" s="41">
        <f t="shared" si="12"/>
        <v>-6</v>
      </c>
      <c r="AG172" s="42">
        <f t="shared" si="10"/>
        <v>0</v>
      </c>
      <c r="AH172" s="42">
        <f t="shared" si="13"/>
        <v>-6</v>
      </c>
      <c r="AI172" s="43">
        <f t="shared" si="14"/>
        <v>0.01</v>
      </c>
      <c r="AJ172" s="2"/>
      <c r="AK172" s="2"/>
      <c r="AL172" s="3"/>
      <c r="AM172" s="1"/>
      <c r="AN172" s="3"/>
      <c r="AO172" s="2"/>
      <c r="AP172" s="4"/>
      <c r="AQ172" s="2"/>
      <c r="AR172" s="5"/>
      <c r="AS172" s="1"/>
      <c r="AT172" s="1"/>
      <c r="AU172" s="1"/>
      <c r="AV172" s="1"/>
      <c r="AW172" s="1"/>
      <c r="AX172" s="1"/>
      <c r="AY172" s="1"/>
      <c r="AZ172" s="1"/>
    </row>
    <row r="173" spans="27:52" x14ac:dyDescent="0.25">
      <c r="AA173" s="1"/>
      <c r="AB173" s="1"/>
      <c r="AC173" s="31"/>
      <c r="AD173" s="32"/>
      <c r="AE173" s="33">
        <f t="shared" si="11"/>
        <v>19</v>
      </c>
      <c r="AF173" s="41">
        <f t="shared" si="12"/>
        <v>-6</v>
      </c>
      <c r="AG173" s="42">
        <f t="shared" si="10"/>
        <v>0</v>
      </c>
      <c r="AH173" s="42">
        <f t="shared" si="13"/>
        <v>-6</v>
      </c>
      <c r="AI173" s="43">
        <f t="shared" si="14"/>
        <v>0.01</v>
      </c>
      <c r="AJ173" s="2"/>
      <c r="AK173" s="2"/>
      <c r="AL173" s="3"/>
      <c r="AM173" s="1"/>
      <c r="AN173" s="3"/>
      <c r="AO173" s="2"/>
      <c r="AP173" s="4"/>
      <c r="AQ173" s="2"/>
      <c r="AR173" s="5"/>
      <c r="AS173" s="1"/>
      <c r="AT173" s="1"/>
      <c r="AU173" s="1"/>
      <c r="AV173" s="1"/>
      <c r="AW173" s="1"/>
      <c r="AX173" s="1"/>
      <c r="AY173" s="1"/>
      <c r="AZ173" s="1"/>
    </row>
    <row r="174" spans="27:52" x14ac:dyDescent="0.25">
      <c r="AA174" s="1"/>
      <c r="AB174" s="1"/>
      <c r="AC174" s="31"/>
      <c r="AD174" s="32"/>
      <c r="AE174" s="33">
        <f t="shared" si="11"/>
        <v>19</v>
      </c>
      <c r="AF174" s="41">
        <f t="shared" si="12"/>
        <v>-6</v>
      </c>
      <c r="AG174" s="42">
        <f t="shared" si="10"/>
        <v>0</v>
      </c>
      <c r="AH174" s="42">
        <f t="shared" si="13"/>
        <v>-6</v>
      </c>
      <c r="AI174" s="43">
        <f t="shared" si="14"/>
        <v>0.01</v>
      </c>
      <c r="AJ174" s="2"/>
      <c r="AK174" s="2"/>
      <c r="AL174" s="3"/>
      <c r="AM174" s="1"/>
      <c r="AN174" s="3"/>
      <c r="AO174" s="2"/>
      <c r="AP174" s="4"/>
      <c r="AQ174" s="2"/>
      <c r="AR174" s="5"/>
      <c r="AS174" s="1"/>
      <c r="AT174" s="1"/>
      <c r="AU174" s="1"/>
      <c r="AV174" s="1"/>
      <c r="AW174" s="1"/>
      <c r="AX174" s="1"/>
      <c r="AY174" s="1"/>
      <c r="AZ174" s="1"/>
    </row>
    <row r="175" spans="27:52" x14ac:dyDescent="0.25">
      <c r="AA175" s="1"/>
      <c r="AB175" s="1"/>
      <c r="AC175" s="31"/>
      <c r="AD175" s="32"/>
      <c r="AE175" s="33">
        <f t="shared" si="11"/>
        <v>19</v>
      </c>
      <c r="AF175" s="41">
        <f t="shared" si="12"/>
        <v>-6</v>
      </c>
      <c r="AG175" s="42">
        <f t="shared" si="10"/>
        <v>0</v>
      </c>
      <c r="AH175" s="42">
        <f t="shared" si="13"/>
        <v>-6</v>
      </c>
      <c r="AI175" s="43">
        <f t="shared" si="14"/>
        <v>0.01</v>
      </c>
      <c r="AJ175" s="2"/>
      <c r="AK175" s="2"/>
      <c r="AL175" s="3"/>
      <c r="AM175" s="1"/>
      <c r="AN175" s="3"/>
      <c r="AO175" s="2"/>
      <c r="AP175" s="4"/>
      <c r="AQ175" s="2"/>
      <c r="AR175" s="5"/>
      <c r="AS175" s="1"/>
      <c r="AT175" s="1"/>
      <c r="AU175" s="1"/>
      <c r="AV175" s="1"/>
      <c r="AW175" s="1"/>
      <c r="AX175" s="1"/>
      <c r="AY175" s="1"/>
      <c r="AZ175" s="1"/>
    </row>
    <row r="176" spans="27:52" x14ac:dyDescent="0.25">
      <c r="AA176" s="1"/>
      <c r="AB176" s="1"/>
      <c r="AC176" s="31"/>
      <c r="AD176" s="32"/>
      <c r="AE176" s="33">
        <f t="shared" si="11"/>
        <v>19</v>
      </c>
      <c r="AF176" s="41">
        <f t="shared" si="12"/>
        <v>-6</v>
      </c>
      <c r="AG176" s="42">
        <f t="shared" si="10"/>
        <v>0</v>
      </c>
      <c r="AH176" s="42">
        <f t="shared" si="13"/>
        <v>-6</v>
      </c>
      <c r="AI176" s="43">
        <f t="shared" si="14"/>
        <v>0.01</v>
      </c>
      <c r="AJ176" s="2"/>
      <c r="AK176" s="2"/>
      <c r="AL176" s="3"/>
      <c r="AM176" s="1"/>
      <c r="AN176" s="3"/>
      <c r="AO176" s="2"/>
      <c r="AP176" s="4"/>
      <c r="AQ176" s="2"/>
      <c r="AR176" s="5"/>
      <c r="AS176" s="1"/>
      <c r="AT176" s="1"/>
      <c r="AU176" s="1"/>
      <c r="AV176" s="1"/>
      <c r="AW176" s="1"/>
      <c r="AX176" s="1"/>
      <c r="AY176" s="1"/>
      <c r="AZ176" s="1"/>
    </row>
    <row r="177" spans="27:52" x14ac:dyDescent="0.25">
      <c r="AA177" s="1"/>
      <c r="AB177" s="1"/>
      <c r="AC177" s="31"/>
      <c r="AD177" s="32"/>
      <c r="AE177" s="33">
        <f t="shared" si="11"/>
        <v>19</v>
      </c>
      <c r="AF177" s="41">
        <f t="shared" si="12"/>
        <v>-6</v>
      </c>
      <c r="AG177" s="42">
        <f t="shared" si="10"/>
        <v>0</v>
      </c>
      <c r="AH177" s="42">
        <f t="shared" si="13"/>
        <v>-6</v>
      </c>
      <c r="AI177" s="43">
        <f t="shared" si="14"/>
        <v>0.01</v>
      </c>
      <c r="AJ177" s="2"/>
      <c r="AK177" s="2"/>
      <c r="AL177" s="3"/>
      <c r="AM177" s="1"/>
      <c r="AN177" s="3"/>
      <c r="AO177" s="2"/>
      <c r="AP177" s="4"/>
      <c r="AQ177" s="2"/>
      <c r="AR177" s="5"/>
      <c r="AS177" s="1"/>
      <c r="AT177" s="1"/>
      <c r="AU177" s="1"/>
      <c r="AV177" s="1"/>
      <c r="AW177" s="1"/>
      <c r="AX177" s="1"/>
      <c r="AY177" s="1"/>
      <c r="AZ177" s="1"/>
    </row>
    <row r="178" spans="27:52" x14ac:dyDescent="0.25">
      <c r="AA178" s="1"/>
      <c r="AB178" s="1"/>
      <c r="AC178" s="31"/>
      <c r="AD178" s="32"/>
      <c r="AE178" s="33">
        <f t="shared" si="11"/>
        <v>19</v>
      </c>
      <c r="AF178" s="41">
        <f t="shared" si="12"/>
        <v>-6</v>
      </c>
      <c r="AG178" s="42">
        <f t="shared" si="10"/>
        <v>0</v>
      </c>
      <c r="AH178" s="42">
        <f t="shared" si="13"/>
        <v>-6</v>
      </c>
      <c r="AI178" s="43">
        <f t="shared" si="14"/>
        <v>0.01</v>
      </c>
      <c r="AJ178" s="2"/>
      <c r="AK178" s="2"/>
      <c r="AL178" s="3"/>
      <c r="AM178" s="1"/>
      <c r="AN178" s="3"/>
      <c r="AO178" s="2"/>
      <c r="AP178" s="4"/>
      <c r="AQ178" s="2"/>
      <c r="AR178" s="5"/>
      <c r="AS178" s="1"/>
      <c r="AT178" s="1"/>
      <c r="AU178" s="1"/>
      <c r="AV178" s="1"/>
      <c r="AW178" s="1"/>
      <c r="AX178" s="1"/>
      <c r="AY178" s="1"/>
      <c r="AZ178" s="1"/>
    </row>
    <row r="179" spans="27:52" x14ac:dyDescent="0.25">
      <c r="AA179" s="1"/>
      <c r="AB179" s="1"/>
      <c r="AC179" s="31"/>
      <c r="AD179" s="32"/>
      <c r="AE179" s="33">
        <f t="shared" si="11"/>
        <v>19</v>
      </c>
      <c r="AF179" s="41">
        <f t="shared" si="12"/>
        <v>-6</v>
      </c>
      <c r="AG179" s="42">
        <f t="shared" si="10"/>
        <v>0</v>
      </c>
      <c r="AH179" s="42">
        <f t="shared" si="13"/>
        <v>-6</v>
      </c>
      <c r="AI179" s="43">
        <f t="shared" si="14"/>
        <v>0.01</v>
      </c>
      <c r="AJ179" s="2"/>
      <c r="AK179" s="2"/>
      <c r="AL179" s="3"/>
      <c r="AM179" s="1"/>
      <c r="AN179" s="3"/>
      <c r="AO179" s="2"/>
      <c r="AP179" s="4"/>
      <c r="AQ179" s="2"/>
      <c r="AR179" s="5"/>
      <c r="AS179" s="1"/>
      <c r="AT179" s="1"/>
      <c r="AU179" s="1"/>
      <c r="AV179" s="1"/>
      <c r="AW179" s="1"/>
      <c r="AX179" s="1"/>
      <c r="AY179" s="1"/>
      <c r="AZ179" s="1"/>
    </row>
    <row r="180" spans="27:52" x14ac:dyDescent="0.25">
      <c r="AA180" s="1"/>
      <c r="AB180" s="1"/>
      <c r="AC180" s="31"/>
      <c r="AD180" s="32"/>
      <c r="AE180" s="33">
        <f t="shared" si="11"/>
        <v>19</v>
      </c>
      <c r="AF180" s="41">
        <f t="shared" si="12"/>
        <v>-6</v>
      </c>
      <c r="AG180" s="42">
        <f t="shared" si="10"/>
        <v>0</v>
      </c>
      <c r="AH180" s="42">
        <f t="shared" si="13"/>
        <v>-6</v>
      </c>
      <c r="AI180" s="43">
        <f t="shared" si="14"/>
        <v>0.01</v>
      </c>
      <c r="AJ180" s="2"/>
      <c r="AK180" s="2"/>
      <c r="AL180" s="3"/>
      <c r="AM180" s="1"/>
      <c r="AN180" s="3"/>
      <c r="AO180" s="2"/>
      <c r="AP180" s="4"/>
      <c r="AQ180" s="2"/>
      <c r="AR180" s="5"/>
      <c r="AS180" s="1"/>
      <c r="AT180" s="1"/>
      <c r="AU180" s="1"/>
      <c r="AV180" s="1"/>
      <c r="AW180" s="1"/>
      <c r="AX180" s="1"/>
      <c r="AY180" s="1"/>
      <c r="AZ180" s="1"/>
    </row>
    <row r="181" spans="27:52" x14ac:dyDescent="0.25">
      <c r="AA181" s="1"/>
      <c r="AB181" s="1"/>
      <c r="AC181" s="31"/>
      <c r="AD181" s="32"/>
      <c r="AE181" s="33">
        <f t="shared" si="11"/>
        <v>19</v>
      </c>
      <c r="AF181" s="41">
        <f t="shared" si="12"/>
        <v>-6</v>
      </c>
      <c r="AG181" s="42">
        <f t="shared" si="10"/>
        <v>0</v>
      </c>
      <c r="AH181" s="42">
        <f t="shared" si="13"/>
        <v>-6</v>
      </c>
      <c r="AI181" s="43">
        <f t="shared" si="14"/>
        <v>0.01</v>
      </c>
      <c r="AJ181" s="2"/>
      <c r="AK181" s="2"/>
      <c r="AL181" s="3"/>
      <c r="AM181" s="1"/>
      <c r="AN181" s="3"/>
      <c r="AO181" s="2"/>
      <c r="AP181" s="4"/>
      <c r="AQ181" s="2"/>
      <c r="AR181" s="5"/>
      <c r="AS181" s="1"/>
      <c r="AT181" s="1"/>
      <c r="AU181" s="1"/>
      <c r="AV181" s="1"/>
      <c r="AW181" s="1"/>
      <c r="AX181" s="1"/>
      <c r="AY181" s="1"/>
      <c r="AZ181" s="1"/>
    </row>
    <row r="182" spans="27:52" x14ac:dyDescent="0.25">
      <c r="AA182" s="1"/>
      <c r="AB182" s="1"/>
      <c r="AC182" s="31"/>
      <c r="AD182" s="32"/>
      <c r="AE182" s="33">
        <f t="shared" si="11"/>
        <v>19</v>
      </c>
      <c r="AF182" s="41">
        <f t="shared" si="12"/>
        <v>-6</v>
      </c>
      <c r="AG182" s="42">
        <f t="shared" si="10"/>
        <v>0</v>
      </c>
      <c r="AH182" s="42">
        <f t="shared" si="13"/>
        <v>-6</v>
      </c>
      <c r="AI182" s="43">
        <f t="shared" si="14"/>
        <v>0.01</v>
      </c>
      <c r="AJ182" s="2"/>
      <c r="AK182" s="2"/>
      <c r="AL182" s="3"/>
      <c r="AM182" s="1"/>
      <c r="AN182" s="3"/>
      <c r="AO182" s="2"/>
      <c r="AP182" s="4"/>
      <c r="AQ182" s="2"/>
      <c r="AR182" s="5"/>
      <c r="AS182" s="1"/>
      <c r="AT182" s="1"/>
      <c r="AU182" s="1"/>
      <c r="AV182" s="1"/>
      <c r="AW182" s="1"/>
      <c r="AX182" s="1"/>
      <c r="AY182" s="1"/>
      <c r="AZ182" s="1"/>
    </row>
    <row r="183" spans="27:52" x14ac:dyDescent="0.25">
      <c r="AA183" s="1"/>
      <c r="AB183" s="1"/>
      <c r="AC183" s="31"/>
      <c r="AD183" s="32"/>
      <c r="AE183" s="33">
        <f t="shared" si="11"/>
        <v>19</v>
      </c>
      <c r="AF183" s="41">
        <f t="shared" si="12"/>
        <v>-6</v>
      </c>
      <c r="AG183" s="42">
        <f t="shared" si="10"/>
        <v>0</v>
      </c>
      <c r="AH183" s="42">
        <f t="shared" si="13"/>
        <v>-6</v>
      </c>
      <c r="AI183" s="43">
        <f t="shared" si="14"/>
        <v>0.01</v>
      </c>
      <c r="AJ183" s="2"/>
      <c r="AK183" s="2"/>
      <c r="AL183" s="3"/>
      <c r="AM183" s="1"/>
      <c r="AN183" s="3"/>
      <c r="AO183" s="2"/>
      <c r="AP183" s="4"/>
      <c r="AQ183" s="2"/>
      <c r="AR183" s="5"/>
      <c r="AS183" s="1"/>
      <c r="AT183" s="1"/>
      <c r="AU183" s="1"/>
      <c r="AV183" s="1"/>
      <c r="AW183" s="1"/>
      <c r="AX183" s="1"/>
      <c r="AY183" s="1"/>
      <c r="AZ183" s="1"/>
    </row>
    <row r="184" spans="27:52" x14ac:dyDescent="0.25">
      <c r="AA184" s="1"/>
      <c r="AB184" s="1"/>
      <c r="AC184" s="31"/>
      <c r="AD184" s="32"/>
      <c r="AE184" s="33">
        <f t="shared" si="11"/>
        <v>19</v>
      </c>
      <c r="AF184" s="41">
        <f t="shared" si="12"/>
        <v>-6</v>
      </c>
      <c r="AG184" s="42">
        <f t="shared" si="10"/>
        <v>0</v>
      </c>
      <c r="AH184" s="42">
        <f t="shared" si="13"/>
        <v>-6</v>
      </c>
      <c r="AI184" s="43">
        <f t="shared" si="14"/>
        <v>0.01</v>
      </c>
      <c r="AJ184" s="2"/>
      <c r="AK184" s="2"/>
      <c r="AL184" s="3"/>
      <c r="AM184" s="1"/>
      <c r="AN184" s="3"/>
      <c r="AO184" s="2"/>
      <c r="AP184" s="4"/>
      <c r="AQ184" s="2"/>
      <c r="AR184" s="5"/>
      <c r="AS184" s="1"/>
      <c r="AT184" s="1"/>
      <c r="AU184" s="1"/>
      <c r="AV184" s="1"/>
      <c r="AW184" s="1"/>
      <c r="AX184" s="1"/>
      <c r="AY184" s="1"/>
      <c r="AZ184" s="1"/>
    </row>
    <row r="185" spans="27:52" x14ac:dyDescent="0.25">
      <c r="AA185" s="1"/>
      <c r="AB185" s="1"/>
      <c r="AC185" s="31"/>
      <c r="AD185" s="32"/>
      <c r="AE185" s="33">
        <f t="shared" si="11"/>
        <v>19</v>
      </c>
      <c r="AF185" s="41">
        <f t="shared" si="12"/>
        <v>-6</v>
      </c>
      <c r="AG185" s="42">
        <f t="shared" si="10"/>
        <v>0</v>
      </c>
      <c r="AH185" s="42">
        <f t="shared" si="13"/>
        <v>-6</v>
      </c>
      <c r="AI185" s="43">
        <f t="shared" si="14"/>
        <v>0.01</v>
      </c>
      <c r="AJ185" s="2"/>
      <c r="AK185" s="2"/>
      <c r="AL185" s="3"/>
      <c r="AM185" s="1"/>
      <c r="AN185" s="3"/>
      <c r="AO185" s="2"/>
      <c r="AP185" s="4"/>
      <c r="AQ185" s="2"/>
      <c r="AR185" s="5"/>
      <c r="AS185" s="1"/>
      <c r="AT185" s="1"/>
      <c r="AU185" s="1"/>
      <c r="AV185" s="1"/>
      <c r="AW185" s="1"/>
      <c r="AX185" s="1"/>
      <c r="AY185" s="1"/>
      <c r="AZ185" s="1"/>
    </row>
    <row r="186" spans="27:52" x14ac:dyDescent="0.25">
      <c r="AA186" s="1"/>
      <c r="AB186" s="1"/>
      <c r="AC186" s="31"/>
      <c r="AD186" s="32"/>
      <c r="AE186" s="33">
        <f t="shared" si="11"/>
        <v>19</v>
      </c>
      <c r="AF186" s="41">
        <f t="shared" si="12"/>
        <v>-6</v>
      </c>
      <c r="AG186" s="42">
        <f t="shared" si="10"/>
        <v>0</v>
      </c>
      <c r="AH186" s="42">
        <f t="shared" si="13"/>
        <v>-6</v>
      </c>
      <c r="AI186" s="43">
        <f t="shared" si="14"/>
        <v>0.01</v>
      </c>
      <c r="AJ186" s="2"/>
      <c r="AK186" s="2"/>
      <c r="AL186" s="3"/>
      <c r="AM186" s="1"/>
      <c r="AN186" s="3"/>
      <c r="AO186" s="2"/>
      <c r="AP186" s="4"/>
      <c r="AQ186" s="2"/>
      <c r="AR186" s="5"/>
      <c r="AS186" s="1"/>
      <c r="AT186" s="1"/>
      <c r="AU186" s="1"/>
      <c r="AV186" s="1"/>
      <c r="AW186" s="1"/>
      <c r="AX186" s="1"/>
      <c r="AY186" s="1"/>
      <c r="AZ186" s="1"/>
    </row>
    <row r="187" spans="27:52" x14ac:dyDescent="0.25">
      <c r="AA187" s="1"/>
      <c r="AB187" s="1"/>
      <c r="AC187" s="31"/>
      <c r="AD187" s="32"/>
      <c r="AE187" s="33">
        <f t="shared" si="11"/>
        <v>19</v>
      </c>
      <c r="AF187" s="41">
        <f t="shared" si="12"/>
        <v>-6</v>
      </c>
      <c r="AG187" s="42">
        <f t="shared" si="10"/>
        <v>0</v>
      </c>
      <c r="AH187" s="42">
        <f t="shared" si="13"/>
        <v>-6</v>
      </c>
      <c r="AI187" s="43">
        <f t="shared" si="14"/>
        <v>0.01</v>
      </c>
      <c r="AJ187" s="2"/>
      <c r="AK187" s="2"/>
      <c r="AL187" s="3"/>
      <c r="AM187" s="1"/>
      <c r="AN187" s="3"/>
      <c r="AO187" s="2"/>
      <c r="AP187" s="4"/>
      <c r="AQ187" s="2"/>
      <c r="AR187" s="5"/>
      <c r="AS187" s="1"/>
      <c r="AT187" s="1"/>
      <c r="AU187" s="1"/>
      <c r="AV187" s="1"/>
      <c r="AW187" s="1"/>
      <c r="AX187" s="1"/>
      <c r="AY187" s="1"/>
      <c r="AZ187" s="1"/>
    </row>
    <row r="188" spans="27:52" x14ac:dyDescent="0.25">
      <c r="AA188" s="1"/>
      <c r="AB188" s="1"/>
      <c r="AC188" s="31"/>
      <c r="AD188" s="32"/>
      <c r="AE188" s="33">
        <f t="shared" si="11"/>
        <v>19</v>
      </c>
      <c r="AF188" s="41">
        <f t="shared" si="12"/>
        <v>-6</v>
      </c>
      <c r="AG188" s="42">
        <f t="shared" si="10"/>
        <v>0</v>
      </c>
      <c r="AH188" s="42">
        <f t="shared" si="13"/>
        <v>-6</v>
      </c>
      <c r="AI188" s="43">
        <f t="shared" si="14"/>
        <v>0.01</v>
      </c>
      <c r="AJ188" s="2"/>
      <c r="AK188" s="2"/>
      <c r="AL188" s="3"/>
      <c r="AM188" s="1"/>
      <c r="AN188" s="3"/>
      <c r="AO188" s="2"/>
      <c r="AP188" s="4"/>
      <c r="AQ188" s="2"/>
      <c r="AR188" s="5"/>
      <c r="AS188" s="1"/>
      <c r="AT188" s="1"/>
      <c r="AU188" s="1"/>
      <c r="AV188" s="1"/>
      <c r="AW188" s="1"/>
      <c r="AX188" s="1"/>
      <c r="AY188" s="1"/>
      <c r="AZ188" s="1"/>
    </row>
    <row r="189" spans="27:52" x14ac:dyDescent="0.25">
      <c r="AA189" s="1"/>
      <c r="AB189" s="1"/>
      <c r="AC189" s="31"/>
      <c r="AD189" s="32"/>
      <c r="AE189" s="33">
        <f t="shared" si="11"/>
        <v>19</v>
      </c>
      <c r="AF189" s="41">
        <f t="shared" si="12"/>
        <v>-6</v>
      </c>
      <c r="AG189" s="42">
        <f t="shared" si="10"/>
        <v>0</v>
      </c>
      <c r="AH189" s="42">
        <f t="shared" si="13"/>
        <v>-6</v>
      </c>
      <c r="AI189" s="43">
        <f t="shared" si="14"/>
        <v>0.01</v>
      </c>
      <c r="AJ189" s="2"/>
      <c r="AK189" s="2"/>
      <c r="AL189" s="3"/>
      <c r="AM189" s="1"/>
      <c r="AN189" s="3"/>
      <c r="AO189" s="2"/>
      <c r="AP189" s="4"/>
      <c r="AQ189" s="2"/>
      <c r="AR189" s="5"/>
      <c r="AS189" s="1"/>
      <c r="AT189" s="1"/>
      <c r="AU189" s="1"/>
      <c r="AV189" s="1"/>
      <c r="AW189" s="1"/>
      <c r="AX189" s="1"/>
      <c r="AY189" s="1"/>
      <c r="AZ189" s="1"/>
    </row>
    <row r="190" spans="27:52" x14ac:dyDescent="0.25">
      <c r="AA190" s="1"/>
      <c r="AB190" s="1"/>
      <c r="AC190" s="31"/>
      <c r="AD190" s="32"/>
      <c r="AE190" s="33">
        <f t="shared" si="11"/>
        <v>19</v>
      </c>
      <c r="AF190" s="41">
        <f t="shared" si="12"/>
        <v>-6</v>
      </c>
      <c r="AG190" s="42">
        <f t="shared" si="10"/>
        <v>0</v>
      </c>
      <c r="AH190" s="42">
        <f t="shared" si="13"/>
        <v>-6</v>
      </c>
      <c r="AI190" s="43">
        <f t="shared" si="14"/>
        <v>0.01</v>
      </c>
      <c r="AJ190" s="2"/>
      <c r="AK190" s="2"/>
      <c r="AL190" s="3"/>
      <c r="AM190" s="1"/>
      <c r="AN190" s="3"/>
      <c r="AO190" s="2"/>
      <c r="AP190" s="4"/>
      <c r="AQ190" s="2"/>
      <c r="AR190" s="5"/>
      <c r="AS190" s="1"/>
      <c r="AT190" s="1"/>
      <c r="AU190" s="1"/>
      <c r="AV190" s="1"/>
      <c r="AW190" s="1"/>
      <c r="AX190" s="1"/>
      <c r="AY190" s="1"/>
      <c r="AZ190" s="1"/>
    </row>
    <row r="191" spans="27:52" x14ac:dyDescent="0.25">
      <c r="AA191" s="1"/>
      <c r="AB191" s="1"/>
      <c r="AC191" s="31"/>
      <c r="AD191" s="32"/>
      <c r="AE191" s="33">
        <f t="shared" si="11"/>
        <v>19</v>
      </c>
      <c r="AF191" s="41">
        <f t="shared" si="12"/>
        <v>-6</v>
      </c>
      <c r="AG191" s="42">
        <f t="shared" si="10"/>
        <v>0</v>
      </c>
      <c r="AH191" s="42">
        <f t="shared" si="13"/>
        <v>-6</v>
      </c>
      <c r="AI191" s="43">
        <f t="shared" si="14"/>
        <v>0.01</v>
      </c>
      <c r="AJ191" s="2"/>
      <c r="AK191" s="2"/>
      <c r="AL191" s="3"/>
      <c r="AM191" s="1"/>
      <c r="AN191" s="3"/>
      <c r="AO191" s="2"/>
      <c r="AP191" s="4"/>
      <c r="AQ191" s="2"/>
      <c r="AR191" s="5"/>
      <c r="AS191" s="1"/>
      <c r="AT191" s="1"/>
      <c r="AU191" s="1"/>
      <c r="AV191" s="1"/>
      <c r="AW191" s="1"/>
      <c r="AX191" s="1"/>
      <c r="AY191" s="1"/>
      <c r="AZ191" s="1"/>
    </row>
    <row r="192" spans="27:52" x14ac:dyDescent="0.25">
      <c r="AA192" s="1"/>
      <c r="AB192" s="1"/>
      <c r="AC192" s="31"/>
      <c r="AD192" s="32"/>
      <c r="AE192" s="33">
        <f t="shared" si="11"/>
        <v>19</v>
      </c>
      <c r="AF192" s="41">
        <f t="shared" si="12"/>
        <v>-6</v>
      </c>
      <c r="AG192" s="42">
        <f t="shared" si="10"/>
        <v>0</v>
      </c>
      <c r="AH192" s="42">
        <f t="shared" si="13"/>
        <v>-6</v>
      </c>
      <c r="AI192" s="43">
        <f t="shared" si="14"/>
        <v>0.01</v>
      </c>
      <c r="AJ192" s="2"/>
      <c r="AK192" s="2"/>
      <c r="AL192" s="3"/>
      <c r="AM192" s="1"/>
      <c r="AN192" s="3"/>
      <c r="AO192" s="2"/>
      <c r="AP192" s="4"/>
      <c r="AQ192" s="2"/>
      <c r="AR192" s="5"/>
      <c r="AS192" s="1"/>
      <c r="AT192" s="1"/>
      <c r="AU192" s="1"/>
      <c r="AV192" s="1"/>
      <c r="AW192" s="1"/>
      <c r="AX192" s="1"/>
      <c r="AY192" s="1"/>
      <c r="AZ192" s="1"/>
    </row>
    <row r="193" spans="27:52" x14ac:dyDescent="0.25">
      <c r="AA193" s="1"/>
      <c r="AB193" s="1"/>
      <c r="AC193" s="31"/>
      <c r="AD193" s="32"/>
      <c r="AE193" s="33">
        <f t="shared" si="11"/>
        <v>19</v>
      </c>
      <c r="AF193" s="41">
        <f t="shared" si="12"/>
        <v>-6</v>
      </c>
      <c r="AG193" s="42">
        <f t="shared" si="10"/>
        <v>0</v>
      </c>
      <c r="AH193" s="42">
        <f t="shared" si="13"/>
        <v>-6</v>
      </c>
      <c r="AI193" s="43">
        <f t="shared" si="14"/>
        <v>0.01</v>
      </c>
      <c r="AJ193" s="2"/>
      <c r="AK193" s="2"/>
      <c r="AL193" s="3"/>
      <c r="AM193" s="1"/>
      <c r="AN193" s="3"/>
      <c r="AO193" s="2"/>
      <c r="AP193" s="4"/>
      <c r="AQ193" s="2"/>
      <c r="AR193" s="5"/>
      <c r="AS193" s="1"/>
      <c r="AT193" s="1"/>
      <c r="AU193" s="1"/>
      <c r="AV193" s="1"/>
      <c r="AW193" s="1"/>
      <c r="AX193" s="1"/>
      <c r="AY193" s="1"/>
      <c r="AZ193" s="1"/>
    </row>
    <row r="194" spans="27:52" x14ac:dyDescent="0.25">
      <c r="AA194" s="1"/>
      <c r="AB194" s="1"/>
      <c r="AC194" s="31"/>
      <c r="AD194" s="32"/>
      <c r="AE194" s="33">
        <f t="shared" si="11"/>
        <v>19</v>
      </c>
      <c r="AF194" s="41">
        <f t="shared" si="12"/>
        <v>-6</v>
      </c>
      <c r="AG194" s="42">
        <f t="shared" ref="AG194:AG201" si="15">AI194*(1-(AF194/AH194))^2</f>
        <v>0</v>
      </c>
      <c r="AH194" s="42">
        <f t="shared" si="13"/>
        <v>-6</v>
      </c>
      <c r="AI194" s="43">
        <f t="shared" si="14"/>
        <v>0.01</v>
      </c>
      <c r="AJ194" s="2"/>
      <c r="AK194" s="2"/>
      <c r="AL194" s="3"/>
      <c r="AM194" s="1"/>
      <c r="AN194" s="3"/>
      <c r="AO194" s="2"/>
      <c r="AP194" s="4"/>
      <c r="AQ194" s="2"/>
      <c r="AR194" s="5"/>
      <c r="AS194" s="1"/>
      <c r="AT194" s="1"/>
      <c r="AU194" s="1"/>
      <c r="AV194" s="1"/>
      <c r="AW194" s="1"/>
      <c r="AX194" s="1"/>
      <c r="AY194" s="1"/>
      <c r="AZ194" s="1"/>
    </row>
    <row r="195" spans="27:52" x14ac:dyDescent="0.25">
      <c r="AA195" s="1"/>
      <c r="AB195" s="1"/>
      <c r="AC195" s="31"/>
      <c r="AD195" s="32"/>
      <c r="AE195" s="33">
        <f t="shared" ref="AE195:AE258" si="16">AE194</f>
        <v>19</v>
      </c>
      <c r="AF195" s="41">
        <f t="shared" ref="AF195:AF201" si="17">IF(AF194+(AH194/AE195)&lt;AH194,AH194,AF194+(AH194/AE195))</f>
        <v>-6</v>
      </c>
      <c r="AG195" s="42">
        <f t="shared" si="15"/>
        <v>0</v>
      </c>
      <c r="AH195" s="42">
        <f t="shared" ref="AH195:AH201" si="18">AH194</f>
        <v>-6</v>
      </c>
      <c r="AI195" s="43">
        <f t="shared" ref="AI195:AI201" si="19">AI194</f>
        <v>0.01</v>
      </c>
      <c r="AJ195" s="2"/>
      <c r="AK195" s="2"/>
      <c r="AL195" s="3"/>
      <c r="AM195" s="1"/>
      <c r="AN195" s="3"/>
      <c r="AO195" s="2"/>
      <c r="AP195" s="4"/>
      <c r="AQ195" s="2"/>
      <c r="AR195" s="5"/>
      <c r="AS195" s="1"/>
      <c r="AT195" s="1"/>
      <c r="AU195" s="1"/>
      <c r="AV195" s="1"/>
      <c r="AW195" s="1"/>
      <c r="AX195" s="1"/>
      <c r="AY195" s="1"/>
      <c r="AZ195" s="1"/>
    </row>
    <row r="196" spans="27:52" x14ac:dyDescent="0.25">
      <c r="AA196" s="1"/>
      <c r="AB196" s="1"/>
      <c r="AC196" s="31"/>
      <c r="AD196" s="32"/>
      <c r="AE196" s="33">
        <f t="shared" si="16"/>
        <v>19</v>
      </c>
      <c r="AF196" s="41">
        <f t="shared" si="17"/>
        <v>-6</v>
      </c>
      <c r="AG196" s="42">
        <f t="shared" si="15"/>
        <v>0</v>
      </c>
      <c r="AH196" s="42">
        <f t="shared" si="18"/>
        <v>-6</v>
      </c>
      <c r="AI196" s="43">
        <f t="shared" si="19"/>
        <v>0.01</v>
      </c>
      <c r="AJ196" s="2"/>
      <c r="AK196" s="2"/>
      <c r="AL196" s="3"/>
      <c r="AM196" s="1"/>
      <c r="AN196" s="3"/>
      <c r="AO196" s="2"/>
      <c r="AP196" s="4"/>
      <c r="AQ196" s="2"/>
      <c r="AR196" s="5"/>
      <c r="AS196" s="1"/>
      <c r="AT196" s="1"/>
      <c r="AU196" s="1"/>
      <c r="AV196" s="1"/>
      <c r="AW196" s="1"/>
      <c r="AX196" s="1"/>
      <c r="AY196" s="1"/>
      <c r="AZ196" s="1"/>
    </row>
    <row r="197" spans="27:52" x14ac:dyDescent="0.25">
      <c r="AA197" s="1"/>
      <c r="AB197" s="1"/>
      <c r="AC197" s="31"/>
      <c r="AD197" s="32"/>
      <c r="AE197" s="33">
        <f t="shared" si="16"/>
        <v>19</v>
      </c>
      <c r="AF197" s="41">
        <f t="shared" si="17"/>
        <v>-6</v>
      </c>
      <c r="AG197" s="42">
        <f t="shared" si="15"/>
        <v>0</v>
      </c>
      <c r="AH197" s="42">
        <f t="shared" si="18"/>
        <v>-6</v>
      </c>
      <c r="AI197" s="43">
        <f t="shared" si="19"/>
        <v>0.01</v>
      </c>
      <c r="AJ197" s="2"/>
      <c r="AK197" s="2"/>
      <c r="AL197" s="3"/>
      <c r="AM197" s="1"/>
      <c r="AN197" s="3"/>
      <c r="AO197" s="2"/>
      <c r="AP197" s="4"/>
      <c r="AQ197" s="2"/>
      <c r="AR197" s="5"/>
      <c r="AS197" s="1"/>
      <c r="AT197" s="1"/>
      <c r="AU197" s="1"/>
      <c r="AV197" s="1"/>
      <c r="AW197" s="1"/>
      <c r="AX197" s="1"/>
      <c r="AY197" s="1"/>
      <c r="AZ197" s="1"/>
    </row>
    <row r="198" spans="27:52" x14ac:dyDescent="0.25">
      <c r="AA198" s="1"/>
      <c r="AB198" s="1"/>
      <c r="AC198" s="31"/>
      <c r="AD198" s="32"/>
      <c r="AE198" s="33">
        <f t="shared" si="16"/>
        <v>19</v>
      </c>
      <c r="AF198" s="41">
        <f t="shared" si="17"/>
        <v>-6</v>
      </c>
      <c r="AG198" s="42">
        <f t="shared" si="15"/>
        <v>0</v>
      </c>
      <c r="AH198" s="42">
        <f t="shared" si="18"/>
        <v>-6</v>
      </c>
      <c r="AI198" s="43">
        <f t="shared" si="19"/>
        <v>0.01</v>
      </c>
      <c r="AJ198" s="2"/>
      <c r="AK198" s="2"/>
      <c r="AL198" s="3"/>
      <c r="AM198" s="1"/>
      <c r="AN198" s="3"/>
      <c r="AO198" s="2"/>
      <c r="AP198" s="4"/>
      <c r="AQ198" s="2"/>
      <c r="AR198" s="5"/>
      <c r="AS198" s="1"/>
      <c r="AT198" s="1"/>
      <c r="AU198" s="1"/>
      <c r="AV198" s="1"/>
      <c r="AW198" s="1"/>
      <c r="AX198" s="1"/>
      <c r="AY198" s="1"/>
      <c r="AZ198" s="1"/>
    </row>
    <row r="199" spans="27:52" x14ac:dyDescent="0.25">
      <c r="AA199" s="1"/>
      <c r="AB199" s="1"/>
      <c r="AC199" s="31"/>
      <c r="AD199" s="32"/>
      <c r="AE199" s="33">
        <f t="shared" si="16"/>
        <v>19</v>
      </c>
      <c r="AF199" s="41">
        <f t="shared" si="17"/>
        <v>-6</v>
      </c>
      <c r="AG199" s="42">
        <f t="shared" si="15"/>
        <v>0</v>
      </c>
      <c r="AH199" s="42">
        <f t="shared" si="18"/>
        <v>-6</v>
      </c>
      <c r="AI199" s="43">
        <f t="shared" si="19"/>
        <v>0.01</v>
      </c>
      <c r="AJ199" s="2"/>
      <c r="AK199" s="2"/>
      <c r="AL199" s="3"/>
      <c r="AM199" s="1"/>
      <c r="AN199" s="3"/>
      <c r="AO199" s="2"/>
      <c r="AP199" s="4"/>
      <c r="AQ199" s="2"/>
      <c r="AR199" s="5"/>
      <c r="AS199" s="1"/>
      <c r="AT199" s="1"/>
      <c r="AU199" s="1"/>
      <c r="AV199" s="1"/>
      <c r="AW199" s="1"/>
      <c r="AX199" s="1"/>
      <c r="AY199" s="1"/>
      <c r="AZ199" s="1"/>
    </row>
    <row r="200" spans="27:52" x14ac:dyDescent="0.25">
      <c r="AA200" s="1"/>
      <c r="AB200" s="1"/>
      <c r="AC200" s="31"/>
      <c r="AD200" s="32"/>
      <c r="AE200" s="33">
        <f t="shared" si="16"/>
        <v>19</v>
      </c>
      <c r="AF200" s="41">
        <f t="shared" si="17"/>
        <v>-6</v>
      </c>
      <c r="AG200" s="42">
        <f t="shared" si="15"/>
        <v>0</v>
      </c>
      <c r="AH200" s="42">
        <f t="shared" si="18"/>
        <v>-6</v>
      </c>
      <c r="AI200" s="43">
        <f t="shared" si="19"/>
        <v>0.01</v>
      </c>
      <c r="AJ200" s="2"/>
      <c r="AK200" s="2"/>
      <c r="AL200" s="3"/>
      <c r="AM200" s="1"/>
      <c r="AN200" s="3"/>
      <c r="AO200" s="2"/>
      <c r="AP200" s="4"/>
      <c r="AQ200" s="2"/>
      <c r="AR200" s="5"/>
      <c r="AS200" s="1"/>
      <c r="AT200" s="1"/>
      <c r="AU200" s="1"/>
      <c r="AV200" s="1"/>
      <c r="AW200" s="1"/>
      <c r="AX200" s="1"/>
      <c r="AY200" s="1"/>
      <c r="AZ200" s="1"/>
    </row>
    <row r="201" spans="27:52" x14ac:dyDescent="0.25">
      <c r="AA201" s="1"/>
      <c r="AB201" s="1"/>
      <c r="AC201" s="31"/>
      <c r="AD201" s="32"/>
      <c r="AE201" s="33">
        <f t="shared" si="16"/>
        <v>19</v>
      </c>
      <c r="AF201" s="41">
        <f t="shared" si="17"/>
        <v>-6</v>
      </c>
      <c r="AG201" s="42">
        <f t="shared" si="15"/>
        <v>0</v>
      </c>
      <c r="AH201" s="42">
        <f t="shared" si="18"/>
        <v>-6</v>
      </c>
      <c r="AI201" s="43">
        <f t="shared" si="19"/>
        <v>0.01</v>
      </c>
      <c r="AJ201" s="2"/>
      <c r="AK201" s="2"/>
      <c r="AL201" s="3"/>
      <c r="AM201" s="1"/>
      <c r="AN201" s="3"/>
      <c r="AO201" s="2"/>
      <c r="AP201" s="4"/>
      <c r="AQ201" s="2"/>
      <c r="AR201" s="5"/>
      <c r="AS201" s="1"/>
      <c r="AT201" s="1"/>
      <c r="AU201" s="1"/>
      <c r="AV201" s="1"/>
      <c r="AW201" s="1"/>
      <c r="AX201" s="1"/>
      <c r="AY201" s="1"/>
      <c r="AZ201" s="1"/>
    </row>
    <row r="202" spans="27:52" x14ac:dyDescent="0.25">
      <c r="AA202" s="1"/>
      <c r="AB202" s="1"/>
      <c r="AC202" s="31"/>
      <c r="AD202" s="32"/>
      <c r="AE202" s="33">
        <f t="shared" si="16"/>
        <v>19</v>
      </c>
      <c r="AF202" s="41">
        <f t="shared" ref="AF202:AF265" si="20">IF(AF201+(AH201/AE202)&lt;AH201,AH201,AF201+(AH201/AE202))</f>
        <v>-6</v>
      </c>
      <c r="AG202" s="42">
        <f t="shared" ref="AG202:AG265" si="21">AI202*(1-(AF202/AH202))^2</f>
        <v>0</v>
      </c>
      <c r="AH202" s="42">
        <f t="shared" ref="AH202:AH265" si="22">AH201</f>
        <v>-6</v>
      </c>
      <c r="AI202" s="43">
        <f t="shared" ref="AI202:AI265" si="23">AI201</f>
        <v>0.01</v>
      </c>
      <c r="AJ202" s="2"/>
      <c r="AK202" s="2"/>
      <c r="AL202" s="3"/>
      <c r="AM202" s="1"/>
      <c r="AN202" s="3"/>
      <c r="AO202" s="2"/>
      <c r="AP202" s="4"/>
      <c r="AQ202" s="2"/>
      <c r="AR202" s="5"/>
      <c r="AS202" s="1"/>
      <c r="AT202" s="1"/>
      <c r="AU202" s="1"/>
      <c r="AV202" s="1"/>
      <c r="AW202" s="1"/>
      <c r="AX202" s="1"/>
      <c r="AY202" s="1"/>
      <c r="AZ202" s="1"/>
    </row>
    <row r="203" spans="27:52" x14ac:dyDescent="0.25">
      <c r="AA203" s="1"/>
      <c r="AB203" s="1"/>
      <c r="AC203" s="31"/>
      <c r="AD203" s="32"/>
      <c r="AE203" s="33">
        <f t="shared" si="16"/>
        <v>19</v>
      </c>
      <c r="AF203" s="41">
        <f t="shared" si="20"/>
        <v>-6</v>
      </c>
      <c r="AG203" s="42">
        <f t="shared" si="21"/>
        <v>0</v>
      </c>
      <c r="AH203" s="42">
        <f t="shared" si="22"/>
        <v>-6</v>
      </c>
      <c r="AI203" s="43">
        <f t="shared" si="23"/>
        <v>0.01</v>
      </c>
      <c r="AJ203" s="2"/>
      <c r="AK203" s="2"/>
      <c r="AL203" s="3"/>
      <c r="AM203" s="1"/>
      <c r="AN203" s="3"/>
      <c r="AO203" s="2"/>
      <c r="AP203" s="4"/>
      <c r="AQ203" s="2"/>
      <c r="AR203" s="5"/>
      <c r="AS203" s="1"/>
      <c r="AT203" s="1"/>
      <c r="AU203" s="1"/>
      <c r="AV203" s="1"/>
      <c r="AW203" s="1"/>
      <c r="AX203" s="1"/>
      <c r="AY203" s="1"/>
      <c r="AZ203" s="1"/>
    </row>
    <row r="204" spans="27:52" x14ac:dyDescent="0.25">
      <c r="AA204" s="1"/>
      <c r="AB204" s="1"/>
      <c r="AC204" s="31"/>
      <c r="AD204" s="32"/>
      <c r="AE204" s="33">
        <f t="shared" si="16"/>
        <v>19</v>
      </c>
      <c r="AF204" s="41">
        <f t="shared" si="20"/>
        <v>-6</v>
      </c>
      <c r="AG204" s="42">
        <f t="shared" si="21"/>
        <v>0</v>
      </c>
      <c r="AH204" s="42">
        <f t="shared" si="22"/>
        <v>-6</v>
      </c>
      <c r="AI204" s="43">
        <f t="shared" si="23"/>
        <v>0.01</v>
      </c>
      <c r="AJ204" s="2"/>
      <c r="AK204" s="2"/>
      <c r="AL204" s="3"/>
      <c r="AM204" s="1"/>
      <c r="AN204" s="3"/>
      <c r="AO204" s="2"/>
      <c r="AP204" s="4"/>
      <c r="AQ204" s="2"/>
      <c r="AR204" s="5"/>
      <c r="AS204" s="1"/>
      <c r="AT204" s="1"/>
      <c r="AU204" s="1"/>
      <c r="AV204" s="1"/>
      <c r="AW204" s="1"/>
      <c r="AX204" s="1"/>
      <c r="AY204" s="1"/>
      <c r="AZ204" s="1"/>
    </row>
    <row r="205" spans="27:52" x14ac:dyDescent="0.25">
      <c r="AA205" s="1"/>
      <c r="AB205" s="1"/>
      <c r="AC205" s="31"/>
      <c r="AD205" s="32"/>
      <c r="AE205" s="33">
        <f t="shared" si="16"/>
        <v>19</v>
      </c>
      <c r="AF205" s="41">
        <f t="shared" si="20"/>
        <v>-6</v>
      </c>
      <c r="AG205" s="42">
        <f t="shared" si="21"/>
        <v>0</v>
      </c>
      <c r="AH205" s="42">
        <f t="shared" si="22"/>
        <v>-6</v>
      </c>
      <c r="AI205" s="43">
        <f t="shared" si="23"/>
        <v>0.01</v>
      </c>
      <c r="AJ205" s="2"/>
      <c r="AK205" s="2"/>
      <c r="AL205" s="3"/>
      <c r="AM205" s="1"/>
      <c r="AN205" s="3"/>
      <c r="AO205" s="2"/>
      <c r="AP205" s="4"/>
      <c r="AQ205" s="2"/>
      <c r="AR205" s="5"/>
      <c r="AS205" s="1"/>
      <c r="AT205" s="1"/>
      <c r="AU205" s="1"/>
      <c r="AV205" s="1"/>
      <c r="AW205" s="1"/>
      <c r="AX205" s="1"/>
      <c r="AY205" s="1"/>
      <c r="AZ205" s="1"/>
    </row>
    <row r="206" spans="27:52" x14ac:dyDescent="0.25">
      <c r="AA206" s="1"/>
      <c r="AB206" s="1"/>
      <c r="AC206" s="31"/>
      <c r="AD206" s="32"/>
      <c r="AE206" s="33">
        <f t="shared" si="16"/>
        <v>19</v>
      </c>
      <c r="AF206" s="41">
        <f t="shared" si="20"/>
        <v>-6</v>
      </c>
      <c r="AG206" s="42">
        <f t="shared" si="21"/>
        <v>0</v>
      </c>
      <c r="AH206" s="42">
        <f t="shared" si="22"/>
        <v>-6</v>
      </c>
      <c r="AI206" s="43">
        <f t="shared" si="23"/>
        <v>0.01</v>
      </c>
      <c r="AJ206" s="2"/>
      <c r="AK206" s="2"/>
      <c r="AL206" s="3"/>
      <c r="AM206" s="1"/>
      <c r="AN206" s="3"/>
      <c r="AO206" s="2"/>
      <c r="AP206" s="4"/>
      <c r="AQ206" s="2"/>
      <c r="AR206" s="5"/>
      <c r="AS206" s="1"/>
      <c r="AT206" s="1"/>
      <c r="AU206" s="1"/>
      <c r="AV206" s="1"/>
      <c r="AW206" s="1"/>
      <c r="AX206" s="1"/>
      <c r="AY206" s="1"/>
      <c r="AZ206" s="1"/>
    </row>
    <row r="207" spans="27:52" x14ac:dyDescent="0.25">
      <c r="AA207" s="1"/>
      <c r="AB207" s="1"/>
      <c r="AC207" s="31"/>
      <c r="AD207" s="32"/>
      <c r="AE207" s="33">
        <f t="shared" si="16"/>
        <v>19</v>
      </c>
      <c r="AF207" s="41">
        <f t="shared" si="20"/>
        <v>-6</v>
      </c>
      <c r="AG207" s="42">
        <f t="shared" si="21"/>
        <v>0</v>
      </c>
      <c r="AH207" s="42">
        <f t="shared" si="22"/>
        <v>-6</v>
      </c>
      <c r="AI207" s="43">
        <f t="shared" si="23"/>
        <v>0.01</v>
      </c>
      <c r="AJ207" s="2"/>
      <c r="AK207" s="2"/>
      <c r="AL207" s="3"/>
      <c r="AM207" s="1"/>
      <c r="AN207" s="3"/>
      <c r="AO207" s="2"/>
      <c r="AP207" s="4"/>
      <c r="AQ207" s="2"/>
      <c r="AR207" s="5"/>
      <c r="AS207" s="1"/>
      <c r="AT207" s="1"/>
      <c r="AU207" s="1"/>
      <c r="AV207" s="1"/>
      <c r="AW207" s="1"/>
      <c r="AX207" s="1"/>
      <c r="AY207" s="1"/>
      <c r="AZ207" s="1"/>
    </row>
    <row r="208" spans="27:52" x14ac:dyDescent="0.25">
      <c r="AA208" s="1"/>
      <c r="AB208" s="1"/>
      <c r="AC208" s="31"/>
      <c r="AD208" s="32"/>
      <c r="AE208" s="33">
        <f t="shared" si="16"/>
        <v>19</v>
      </c>
      <c r="AF208" s="41">
        <f t="shared" si="20"/>
        <v>-6</v>
      </c>
      <c r="AG208" s="42">
        <f t="shared" si="21"/>
        <v>0</v>
      </c>
      <c r="AH208" s="42">
        <f t="shared" si="22"/>
        <v>-6</v>
      </c>
      <c r="AI208" s="43">
        <f t="shared" si="23"/>
        <v>0.01</v>
      </c>
      <c r="AJ208" s="2"/>
      <c r="AK208" s="2"/>
      <c r="AL208" s="3"/>
      <c r="AM208" s="1"/>
      <c r="AN208" s="3"/>
      <c r="AO208" s="2"/>
      <c r="AP208" s="4"/>
      <c r="AQ208" s="2"/>
      <c r="AR208" s="5"/>
      <c r="AS208" s="1"/>
      <c r="AT208" s="1"/>
      <c r="AU208" s="1"/>
      <c r="AV208" s="1"/>
      <c r="AW208" s="1"/>
      <c r="AX208" s="1"/>
      <c r="AY208" s="1"/>
      <c r="AZ208" s="1"/>
    </row>
    <row r="209" spans="27:52" x14ac:dyDescent="0.25">
      <c r="AA209" s="1"/>
      <c r="AB209" s="1"/>
      <c r="AC209" s="31"/>
      <c r="AD209" s="32"/>
      <c r="AE209" s="33">
        <f t="shared" si="16"/>
        <v>19</v>
      </c>
      <c r="AF209" s="41">
        <f t="shared" si="20"/>
        <v>-6</v>
      </c>
      <c r="AG209" s="42">
        <f t="shared" si="21"/>
        <v>0</v>
      </c>
      <c r="AH209" s="42">
        <f t="shared" si="22"/>
        <v>-6</v>
      </c>
      <c r="AI209" s="43">
        <f t="shared" si="23"/>
        <v>0.01</v>
      </c>
      <c r="AJ209" s="2"/>
      <c r="AK209" s="2"/>
      <c r="AL209" s="3"/>
      <c r="AM209" s="1"/>
      <c r="AN209" s="3"/>
      <c r="AO209" s="2"/>
      <c r="AP209" s="4"/>
      <c r="AQ209" s="2"/>
      <c r="AR209" s="5"/>
      <c r="AS209" s="1"/>
      <c r="AT209" s="1"/>
      <c r="AU209" s="1"/>
      <c r="AV209" s="1"/>
      <c r="AW209" s="1"/>
      <c r="AX209" s="1"/>
      <c r="AY209" s="1"/>
      <c r="AZ209" s="1"/>
    </row>
    <row r="210" spans="27:52" x14ac:dyDescent="0.25">
      <c r="AA210" s="1"/>
      <c r="AB210" s="1"/>
      <c r="AC210" s="31"/>
      <c r="AD210" s="32"/>
      <c r="AE210" s="33">
        <f t="shared" si="16"/>
        <v>19</v>
      </c>
      <c r="AF210" s="41">
        <f t="shared" si="20"/>
        <v>-6</v>
      </c>
      <c r="AG210" s="42">
        <f t="shared" si="21"/>
        <v>0</v>
      </c>
      <c r="AH210" s="42">
        <f t="shared" si="22"/>
        <v>-6</v>
      </c>
      <c r="AI210" s="43">
        <f t="shared" si="23"/>
        <v>0.01</v>
      </c>
      <c r="AJ210" s="2"/>
      <c r="AK210" s="2"/>
      <c r="AL210" s="3"/>
      <c r="AM210" s="1"/>
      <c r="AN210" s="3"/>
      <c r="AO210" s="2"/>
      <c r="AP210" s="4"/>
      <c r="AQ210" s="2"/>
      <c r="AR210" s="5"/>
      <c r="AS210" s="1"/>
      <c r="AT210" s="1"/>
      <c r="AU210" s="1"/>
      <c r="AV210" s="1"/>
      <c r="AW210" s="1"/>
      <c r="AX210" s="1"/>
      <c r="AY210" s="1"/>
      <c r="AZ210" s="1"/>
    </row>
    <row r="211" spans="27:52" x14ac:dyDescent="0.25">
      <c r="AA211" s="1"/>
      <c r="AB211" s="1"/>
      <c r="AC211" s="31"/>
      <c r="AD211" s="32"/>
      <c r="AE211" s="33">
        <f t="shared" si="16"/>
        <v>19</v>
      </c>
      <c r="AF211" s="41">
        <f t="shared" si="20"/>
        <v>-6</v>
      </c>
      <c r="AG211" s="42">
        <f t="shared" si="21"/>
        <v>0</v>
      </c>
      <c r="AH211" s="42">
        <f t="shared" si="22"/>
        <v>-6</v>
      </c>
      <c r="AI211" s="43">
        <f t="shared" si="23"/>
        <v>0.01</v>
      </c>
      <c r="AJ211" s="2"/>
      <c r="AK211" s="2"/>
      <c r="AL211" s="3"/>
      <c r="AM211" s="1"/>
      <c r="AN211" s="3"/>
      <c r="AO211" s="2"/>
      <c r="AP211" s="4"/>
      <c r="AQ211" s="2"/>
      <c r="AR211" s="5"/>
      <c r="AS211" s="1"/>
      <c r="AT211" s="1"/>
      <c r="AU211" s="1"/>
      <c r="AV211" s="1"/>
      <c r="AW211" s="1"/>
      <c r="AX211" s="1"/>
      <c r="AY211" s="1"/>
      <c r="AZ211" s="1"/>
    </row>
    <row r="212" spans="27:52" x14ac:dyDescent="0.25">
      <c r="AA212" s="1"/>
      <c r="AB212" s="1"/>
      <c r="AC212" s="31"/>
      <c r="AD212" s="32"/>
      <c r="AE212" s="33">
        <f t="shared" si="16"/>
        <v>19</v>
      </c>
      <c r="AF212" s="41">
        <f t="shared" si="20"/>
        <v>-6</v>
      </c>
      <c r="AG212" s="42">
        <f t="shared" si="21"/>
        <v>0</v>
      </c>
      <c r="AH212" s="42">
        <f t="shared" si="22"/>
        <v>-6</v>
      </c>
      <c r="AI212" s="43">
        <f t="shared" si="23"/>
        <v>0.01</v>
      </c>
      <c r="AJ212" s="2"/>
      <c r="AK212" s="2"/>
      <c r="AL212" s="3"/>
      <c r="AM212" s="1"/>
      <c r="AN212" s="3"/>
      <c r="AO212" s="2"/>
      <c r="AP212" s="4"/>
      <c r="AQ212" s="2"/>
      <c r="AR212" s="5"/>
      <c r="AS212" s="1"/>
      <c r="AT212" s="1"/>
      <c r="AU212" s="1"/>
      <c r="AV212" s="1"/>
      <c r="AW212" s="1"/>
      <c r="AX212" s="1"/>
      <c r="AY212" s="1"/>
      <c r="AZ212" s="1"/>
    </row>
    <row r="213" spans="27:52" x14ac:dyDescent="0.25">
      <c r="AA213" s="1"/>
      <c r="AB213" s="1"/>
      <c r="AC213" s="31"/>
      <c r="AD213" s="32"/>
      <c r="AE213" s="33">
        <f t="shared" si="16"/>
        <v>19</v>
      </c>
      <c r="AF213" s="41">
        <f t="shared" si="20"/>
        <v>-6</v>
      </c>
      <c r="AG213" s="42">
        <f t="shared" si="21"/>
        <v>0</v>
      </c>
      <c r="AH213" s="42">
        <f t="shared" si="22"/>
        <v>-6</v>
      </c>
      <c r="AI213" s="43">
        <f t="shared" si="23"/>
        <v>0.01</v>
      </c>
      <c r="AJ213" s="2"/>
      <c r="AK213" s="2"/>
      <c r="AL213" s="3"/>
      <c r="AM213" s="1"/>
      <c r="AN213" s="3"/>
      <c r="AO213" s="2"/>
      <c r="AP213" s="4"/>
      <c r="AQ213" s="2"/>
      <c r="AR213" s="5"/>
      <c r="AS213" s="1"/>
      <c r="AT213" s="1"/>
      <c r="AU213" s="1"/>
      <c r="AV213" s="1"/>
      <c r="AW213" s="1"/>
      <c r="AX213" s="1"/>
      <c r="AY213" s="1"/>
      <c r="AZ213" s="1"/>
    </row>
    <row r="214" spans="27:52" x14ac:dyDescent="0.25">
      <c r="AA214" s="1"/>
      <c r="AB214" s="1"/>
      <c r="AC214" s="31"/>
      <c r="AD214" s="32"/>
      <c r="AE214" s="33">
        <f t="shared" si="16"/>
        <v>19</v>
      </c>
      <c r="AF214" s="41">
        <f t="shared" si="20"/>
        <v>-6</v>
      </c>
      <c r="AG214" s="42">
        <f t="shared" si="21"/>
        <v>0</v>
      </c>
      <c r="AH214" s="42">
        <f t="shared" si="22"/>
        <v>-6</v>
      </c>
      <c r="AI214" s="43">
        <f t="shared" si="23"/>
        <v>0.01</v>
      </c>
      <c r="AJ214" s="2"/>
      <c r="AK214" s="2"/>
      <c r="AL214" s="3"/>
      <c r="AM214" s="1"/>
      <c r="AN214" s="3"/>
      <c r="AO214" s="2"/>
      <c r="AP214" s="4"/>
      <c r="AQ214" s="2"/>
      <c r="AR214" s="5"/>
      <c r="AS214" s="1"/>
      <c r="AT214" s="1"/>
      <c r="AU214" s="1"/>
      <c r="AV214" s="1"/>
      <c r="AW214" s="1"/>
      <c r="AX214" s="1"/>
      <c r="AY214" s="1"/>
      <c r="AZ214" s="1"/>
    </row>
    <row r="215" spans="27:52" x14ac:dyDescent="0.25">
      <c r="AA215" s="1"/>
      <c r="AB215" s="1"/>
      <c r="AC215" s="31"/>
      <c r="AD215" s="32"/>
      <c r="AE215" s="33">
        <f t="shared" si="16"/>
        <v>19</v>
      </c>
      <c r="AF215" s="41">
        <f t="shared" si="20"/>
        <v>-6</v>
      </c>
      <c r="AG215" s="42">
        <f t="shared" si="21"/>
        <v>0</v>
      </c>
      <c r="AH215" s="42">
        <f t="shared" si="22"/>
        <v>-6</v>
      </c>
      <c r="AI215" s="43">
        <f t="shared" si="23"/>
        <v>0.01</v>
      </c>
      <c r="AJ215" s="2"/>
      <c r="AK215" s="2"/>
      <c r="AL215" s="3"/>
      <c r="AM215" s="1"/>
      <c r="AN215" s="3"/>
      <c r="AO215" s="2"/>
      <c r="AP215" s="4"/>
      <c r="AQ215" s="2"/>
      <c r="AR215" s="5"/>
      <c r="AS215" s="1"/>
      <c r="AT215" s="1"/>
      <c r="AU215" s="1"/>
      <c r="AV215" s="1"/>
      <c r="AW215" s="1"/>
      <c r="AX215" s="1"/>
      <c r="AY215" s="1"/>
      <c r="AZ215" s="1"/>
    </row>
    <row r="216" spans="27:52" x14ac:dyDescent="0.25">
      <c r="AA216" s="1"/>
      <c r="AB216" s="1"/>
      <c r="AC216" s="31"/>
      <c r="AD216" s="32"/>
      <c r="AE216" s="33">
        <f t="shared" si="16"/>
        <v>19</v>
      </c>
      <c r="AF216" s="41">
        <f t="shared" si="20"/>
        <v>-6</v>
      </c>
      <c r="AG216" s="42">
        <f t="shared" si="21"/>
        <v>0</v>
      </c>
      <c r="AH216" s="42">
        <f t="shared" si="22"/>
        <v>-6</v>
      </c>
      <c r="AI216" s="43">
        <f t="shared" si="23"/>
        <v>0.01</v>
      </c>
      <c r="AJ216" s="2"/>
      <c r="AK216" s="2"/>
      <c r="AL216" s="3"/>
      <c r="AM216" s="1"/>
      <c r="AN216" s="3"/>
      <c r="AO216" s="2"/>
      <c r="AP216" s="4"/>
      <c r="AQ216" s="2"/>
      <c r="AR216" s="5"/>
      <c r="AS216" s="1"/>
      <c r="AT216" s="1"/>
      <c r="AU216" s="1"/>
      <c r="AV216" s="1"/>
      <c r="AW216" s="1"/>
      <c r="AX216" s="1"/>
      <c r="AY216" s="1"/>
      <c r="AZ216" s="1"/>
    </row>
    <row r="217" spans="27:52" x14ac:dyDescent="0.25">
      <c r="AA217" s="1"/>
      <c r="AB217" s="1"/>
      <c r="AC217" s="31"/>
      <c r="AD217" s="32"/>
      <c r="AE217" s="33">
        <f t="shared" si="16"/>
        <v>19</v>
      </c>
      <c r="AF217" s="41">
        <f t="shared" si="20"/>
        <v>-6</v>
      </c>
      <c r="AG217" s="42">
        <f t="shared" si="21"/>
        <v>0</v>
      </c>
      <c r="AH217" s="42">
        <f t="shared" si="22"/>
        <v>-6</v>
      </c>
      <c r="AI217" s="43">
        <f t="shared" si="23"/>
        <v>0.01</v>
      </c>
      <c r="AJ217" s="2"/>
      <c r="AK217" s="2"/>
      <c r="AL217" s="3"/>
      <c r="AM217" s="1"/>
      <c r="AN217" s="3"/>
      <c r="AO217" s="2"/>
      <c r="AP217" s="4"/>
      <c r="AQ217" s="2"/>
      <c r="AR217" s="5"/>
      <c r="AS217" s="1"/>
      <c r="AT217" s="1"/>
      <c r="AU217" s="1"/>
      <c r="AV217" s="1"/>
      <c r="AW217" s="1"/>
      <c r="AX217" s="1"/>
      <c r="AY217" s="1"/>
      <c r="AZ217" s="1"/>
    </row>
    <row r="218" spans="27:52" x14ac:dyDescent="0.25">
      <c r="AA218" s="1"/>
      <c r="AB218" s="1"/>
      <c r="AC218" s="31"/>
      <c r="AD218" s="32"/>
      <c r="AE218" s="33">
        <f t="shared" si="16"/>
        <v>19</v>
      </c>
      <c r="AF218" s="41">
        <f t="shared" si="20"/>
        <v>-6</v>
      </c>
      <c r="AG218" s="42">
        <f t="shared" si="21"/>
        <v>0</v>
      </c>
      <c r="AH218" s="42">
        <f t="shared" si="22"/>
        <v>-6</v>
      </c>
      <c r="AI218" s="43">
        <f t="shared" si="23"/>
        <v>0.01</v>
      </c>
      <c r="AJ218" s="2"/>
      <c r="AK218" s="2"/>
      <c r="AL218" s="3"/>
      <c r="AM218" s="1"/>
      <c r="AN218" s="3"/>
      <c r="AO218" s="2"/>
      <c r="AP218" s="4"/>
      <c r="AQ218" s="2"/>
      <c r="AR218" s="5"/>
      <c r="AS218" s="1"/>
      <c r="AT218" s="1"/>
      <c r="AU218" s="1"/>
      <c r="AV218" s="1"/>
      <c r="AW218" s="1"/>
      <c r="AX218" s="1"/>
      <c r="AY218" s="1"/>
      <c r="AZ218" s="1"/>
    </row>
    <row r="219" spans="27:52" x14ac:dyDescent="0.25">
      <c r="AA219" s="1"/>
      <c r="AB219" s="1"/>
      <c r="AC219" s="31"/>
      <c r="AD219" s="32"/>
      <c r="AE219" s="33">
        <f t="shared" si="16"/>
        <v>19</v>
      </c>
      <c r="AF219" s="41">
        <f t="shared" si="20"/>
        <v>-6</v>
      </c>
      <c r="AG219" s="42">
        <f t="shared" si="21"/>
        <v>0</v>
      </c>
      <c r="AH219" s="42">
        <f t="shared" si="22"/>
        <v>-6</v>
      </c>
      <c r="AI219" s="43">
        <f t="shared" si="23"/>
        <v>0.01</v>
      </c>
      <c r="AJ219" s="2"/>
      <c r="AK219" s="2"/>
      <c r="AL219" s="3"/>
      <c r="AM219" s="1"/>
      <c r="AN219" s="3"/>
      <c r="AO219" s="2"/>
      <c r="AP219" s="4"/>
      <c r="AQ219" s="2"/>
      <c r="AR219" s="5"/>
      <c r="AS219" s="1"/>
      <c r="AT219" s="1"/>
      <c r="AU219" s="1"/>
      <c r="AV219" s="1"/>
      <c r="AW219" s="1"/>
      <c r="AX219" s="1"/>
      <c r="AY219" s="1"/>
      <c r="AZ219" s="1"/>
    </row>
    <row r="220" spans="27:52" x14ac:dyDescent="0.25">
      <c r="AA220" s="1"/>
      <c r="AB220" s="1"/>
      <c r="AC220" s="31"/>
      <c r="AD220" s="32"/>
      <c r="AE220" s="33">
        <f t="shared" si="16"/>
        <v>19</v>
      </c>
      <c r="AF220" s="41">
        <f t="shared" si="20"/>
        <v>-6</v>
      </c>
      <c r="AG220" s="42">
        <f t="shared" si="21"/>
        <v>0</v>
      </c>
      <c r="AH220" s="42">
        <f t="shared" si="22"/>
        <v>-6</v>
      </c>
      <c r="AI220" s="43">
        <f t="shared" si="23"/>
        <v>0.01</v>
      </c>
      <c r="AJ220" s="2"/>
      <c r="AK220" s="2"/>
      <c r="AL220" s="3"/>
      <c r="AM220" s="1"/>
      <c r="AN220" s="3"/>
      <c r="AO220" s="2"/>
      <c r="AP220" s="4"/>
      <c r="AQ220" s="2"/>
      <c r="AR220" s="5"/>
      <c r="AS220" s="1"/>
      <c r="AT220" s="1"/>
      <c r="AU220" s="1"/>
      <c r="AV220" s="1"/>
      <c r="AW220" s="1"/>
      <c r="AX220" s="1"/>
      <c r="AY220" s="1"/>
      <c r="AZ220" s="1"/>
    </row>
    <row r="221" spans="27:52" x14ac:dyDescent="0.25">
      <c r="AA221" s="1"/>
      <c r="AB221" s="1"/>
      <c r="AC221" s="31"/>
      <c r="AD221" s="32"/>
      <c r="AE221" s="33">
        <f t="shared" si="16"/>
        <v>19</v>
      </c>
      <c r="AF221" s="41">
        <f t="shared" si="20"/>
        <v>-6</v>
      </c>
      <c r="AG221" s="42">
        <f t="shared" si="21"/>
        <v>0</v>
      </c>
      <c r="AH221" s="42">
        <f t="shared" si="22"/>
        <v>-6</v>
      </c>
      <c r="AI221" s="43">
        <f t="shared" si="23"/>
        <v>0.01</v>
      </c>
      <c r="AJ221" s="2"/>
      <c r="AK221" s="2"/>
      <c r="AL221" s="3"/>
      <c r="AM221" s="1"/>
      <c r="AN221" s="3"/>
      <c r="AO221" s="2"/>
      <c r="AP221" s="4"/>
      <c r="AQ221" s="2"/>
      <c r="AR221" s="5"/>
      <c r="AS221" s="1"/>
      <c r="AT221" s="1"/>
      <c r="AU221" s="1"/>
      <c r="AV221" s="1"/>
      <c r="AW221" s="1"/>
      <c r="AX221" s="1"/>
      <c r="AY221" s="1"/>
      <c r="AZ221" s="1"/>
    </row>
    <row r="222" spans="27:52" x14ac:dyDescent="0.25">
      <c r="AA222" s="1"/>
      <c r="AB222" s="1"/>
      <c r="AC222" s="31"/>
      <c r="AD222" s="32"/>
      <c r="AE222" s="33">
        <f t="shared" si="16"/>
        <v>19</v>
      </c>
      <c r="AF222" s="41">
        <f t="shared" si="20"/>
        <v>-6</v>
      </c>
      <c r="AG222" s="42">
        <f t="shared" si="21"/>
        <v>0</v>
      </c>
      <c r="AH222" s="42">
        <f t="shared" si="22"/>
        <v>-6</v>
      </c>
      <c r="AI222" s="43">
        <f t="shared" si="23"/>
        <v>0.01</v>
      </c>
      <c r="AJ222" s="2"/>
      <c r="AK222" s="2"/>
      <c r="AL222" s="3"/>
      <c r="AM222" s="1"/>
      <c r="AN222" s="3"/>
      <c r="AO222" s="2"/>
      <c r="AP222" s="4"/>
      <c r="AQ222" s="2"/>
      <c r="AR222" s="5"/>
      <c r="AS222" s="1"/>
      <c r="AT222" s="1"/>
      <c r="AU222" s="1"/>
      <c r="AV222" s="1"/>
      <c r="AW222" s="1"/>
      <c r="AX222" s="1"/>
      <c r="AY222" s="1"/>
      <c r="AZ222" s="1"/>
    </row>
    <row r="223" spans="27:52" x14ac:dyDescent="0.25">
      <c r="AA223" s="1"/>
      <c r="AB223" s="1"/>
      <c r="AC223" s="31"/>
      <c r="AD223" s="32"/>
      <c r="AE223" s="33">
        <f t="shared" si="16"/>
        <v>19</v>
      </c>
      <c r="AF223" s="41">
        <f t="shared" si="20"/>
        <v>-6</v>
      </c>
      <c r="AG223" s="42">
        <f t="shared" si="21"/>
        <v>0</v>
      </c>
      <c r="AH223" s="42">
        <f t="shared" si="22"/>
        <v>-6</v>
      </c>
      <c r="AI223" s="43">
        <f t="shared" si="23"/>
        <v>0.01</v>
      </c>
      <c r="AJ223" s="2"/>
      <c r="AK223" s="2"/>
      <c r="AL223" s="3"/>
      <c r="AM223" s="1"/>
      <c r="AN223" s="3"/>
      <c r="AO223" s="2"/>
      <c r="AP223" s="4"/>
      <c r="AQ223" s="2"/>
      <c r="AR223" s="5"/>
      <c r="AS223" s="1"/>
      <c r="AT223" s="1"/>
      <c r="AU223" s="1"/>
      <c r="AV223" s="1"/>
      <c r="AW223" s="1"/>
      <c r="AX223" s="1"/>
      <c r="AY223" s="1"/>
      <c r="AZ223" s="1"/>
    </row>
    <row r="224" spans="27:52" x14ac:dyDescent="0.25">
      <c r="AA224" s="1"/>
      <c r="AB224" s="1"/>
      <c r="AC224" s="31"/>
      <c r="AD224" s="32"/>
      <c r="AE224" s="33">
        <f t="shared" si="16"/>
        <v>19</v>
      </c>
      <c r="AF224" s="41">
        <f t="shared" si="20"/>
        <v>-6</v>
      </c>
      <c r="AG224" s="42">
        <f t="shared" si="21"/>
        <v>0</v>
      </c>
      <c r="AH224" s="42">
        <f t="shared" si="22"/>
        <v>-6</v>
      </c>
      <c r="AI224" s="43">
        <f t="shared" si="23"/>
        <v>0.01</v>
      </c>
      <c r="AJ224" s="2"/>
      <c r="AK224" s="2"/>
      <c r="AL224" s="3"/>
      <c r="AM224" s="1"/>
      <c r="AN224" s="3"/>
      <c r="AO224" s="2"/>
      <c r="AP224" s="4"/>
      <c r="AQ224" s="2"/>
      <c r="AR224" s="5"/>
      <c r="AS224" s="1"/>
      <c r="AT224" s="1"/>
      <c r="AU224" s="1"/>
      <c r="AV224" s="1"/>
      <c r="AW224" s="1"/>
      <c r="AX224" s="1"/>
      <c r="AY224" s="1"/>
      <c r="AZ224" s="1"/>
    </row>
    <row r="225" spans="27:52" x14ac:dyDescent="0.25">
      <c r="AA225" s="1"/>
      <c r="AB225" s="1"/>
      <c r="AC225" s="31"/>
      <c r="AD225" s="32"/>
      <c r="AE225" s="33">
        <f t="shared" si="16"/>
        <v>19</v>
      </c>
      <c r="AF225" s="41">
        <f t="shared" si="20"/>
        <v>-6</v>
      </c>
      <c r="AG225" s="42">
        <f t="shared" si="21"/>
        <v>0</v>
      </c>
      <c r="AH225" s="42">
        <f t="shared" si="22"/>
        <v>-6</v>
      </c>
      <c r="AI225" s="43">
        <f t="shared" si="23"/>
        <v>0.01</v>
      </c>
      <c r="AJ225" s="2"/>
      <c r="AK225" s="2"/>
      <c r="AL225" s="3"/>
      <c r="AM225" s="1"/>
      <c r="AN225" s="3"/>
      <c r="AO225" s="2"/>
      <c r="AP225" s="4"/>
      <c r="AQ225" s="2"/>
      <c r="AR225" s="5"/>
      <c r="AS225" s="1"/>
      <c r="AT225" s="1"/>
      <c r="AU225" s="1"/>
      <c r="AV225" s="1"/>
      <c r="AW225" s="1"/>
      <c r="AX225" s="1"/>
      <c r="AY225" s="1"/>
      <c r="AZ225" s="1"/>
    </row>
    <row r="226" spans="27:52" x14ac:dyDescent="0.25">
      <c r="AA226" s="1"/>
      <c r="AB226" s="1"/>
      <c r="AC226" s="31"/>
      <c r="AD226" s="32"/>
      <c r="AE226" s="33">
        <f t="shared" si="16"/>
        <v>19</v>
      </c>
      <c r="AF226" s="41">
        <f t="shared" si="20"/>
        <v>-6</v>
      </c>
      <c r="AG226" s="42">
        <f t="shared" si="21"/>
        <v>0</v>
      </c>
      <c r="AH226" s="42">
        <f t="shared" si="22"/>
        <v>-6</v>
      </c>
      <c r="AI226" s="43">
        <f t="shared" si="23"/>
        <v>0.01</v>
      </c>
      <c r="AJ226" s="2"/>
      <c r="AK226" s="2"/>
      <c r="AL226" s="3"/>
      <c r="AM226" s="1"/>
      <c r="AN226" s="3"/>
      <c r="AO226" s="2"/>
      <c r="AP226" s="4"/>
      <c r="AQ226" s="2"/>
      <c r="AR226" s="5"/>
      <c r="AS226" s="1"/>
      <c r="AT226" s="1"/>
      <c r="AU226" s="1"/>
      <c r="AV226" s="1"/>
      <c r="AW226" s="1"/>
      <c r="AX226" s="1"/>
      <c r="AY226" s="1"/>
      <c r="AZ226" s="1"/>
    </row>
    <row r="227" spans="27:52" x14ac:dyDescent="0.25">
      <c r="AA227" s="1"/>
      <c r="AB227" s="1"/>
      <c r="AC227" s="31"/>
      <c r="AD227" s="32"/>
      <c r="AE227" s="33">
        <f t="shared" si="16"/>
        <v>19</v>
      </c>
      <c r="AF227" s="41">
        <f t="shared" si="20"/>
        <v>-6</v>
      </c>
      <c r="AG227" s="42">
        <f t="shared" si="21"/>
        <v>0</v>
      </c>
      <c r="AH227" s="42">
        <f t="shared" si="22"/>
        <v>-6</v>
      </c>
      <c r="AI227" s="43">
        <f t="shared" si="23"/>
        <v>0.01</v>
      </c>
      <c r="AJ227" s="2"/>
      <c r="AK227" s="2"/>
      <c r="AL227" s="3"/>
      <c r="AM227" s="1"/>
      <c r="AN227" s="3"/>
      <c r="AO227" s="2"/>
      <c r="AP227" s="4"/>
      <c r="AQ227" s="2"/>
      <c r="AR227" s="5"/>
      <c r="AS227" s="1"/>
      <c r="AT227" s="1"/>
      <c r="AU227" s="1"/>
      <c r="AV227" s="1"/>
      <c r="AW227" s="1"/>
      <c r="AX227" s="1"/>
      <c r="AY227" s="1"/>
      <c r="AZ227" s="1"/>
    </row>
    <row r="228" spans="27:52" x14ac:dyDescent="0.25">
      <c r="AA228" s="1"/>
      <c r="AB228" s="1"/>
      <c r="AC228" s="31"/>
      <c r="AD228" s="32"/>
      <c r="AE228" s="33">
        <f t="shared" si="16"/>
        <v>19</v>
      </c>
      <c r="AF228" s="41">
        <f t="shared" si="20"/>
        <v>-6</v>
      </c>
      <c r="AG228" s="42">
        <f t="shared" si="21"/>
        <v>0</v>
      </c>
      <c r="AH228" s="42">
        <f t="shared" si="22"/>
        <v>-6</v>
      </c>
      <c r="AI228" s="43">
        <f t="shared" si="23"/>
        <v>0.01</v>
      </c>
      <c r="AJ228" s="2"/>
      <c r="AK228" s="2"/>
      <c r="AL228" s="3"/>
      <c r="AM228" s="1"/>
      <c r="AN228" s="3"/>
      <c r="AO228" s="2"/>
      <c r="AP228" s="4"/>
      <c r="AQ228" s="2"/>
      <c r="AR228" s="5"/>
      <c r="AS228" s="1"/>
      <c r="AT228" s="1"/>
      <c r="AU228" s="1"/>
      <c r="AV228" s="1"/>
      <c r="AW228" s="1"/>
      <c r="AX228" s="1"/>
      <c r="AY228" s="1"/>
      <c r="AZ228" s="1"/>
    </row>
    <row r="229" spans="27:52" x14ac:dyDescent="0.25">
      <c r="AA229" s="1"/>
      <c r="AB229" s="1"/>
      <c r="AC229" s="31"/>
      <c r="AD229" s="32"/>
      <c r="AE229" s="33">
        <f t="shared" si="16"/>
        <v>19</v>
      </c>
      <c r="AF229" s="41">
        <f t="shared" si="20"/>
        <v>-6</v>
      </c>
      <c r="AG229" s="42">
        <f t="shared" si="21"/>
        <v>0</v>
      </c>
      <c r="AH229" s="42">
        <f t="shared" si="22"/>
        <v>-6</v>
      </c>
      <c r="AI229" s="43">
        <f t="shared" si="23"/>
        <v>0.01</v>
      </c>
      <c r="AJ229" s="2"/>
      <c r="AK229" s="2"/>
      <c r="AL229" s="3"/>
      <c r="AM229" s="1"/>
      <c r="AN229" s="3"/>
      <c r="AO229" s="2"/>
      <c r="AP229" s="4"/>
      <c r="AQ229" s="2"/>
      <c r="AR229" s="5"/>
      <c r="AS229" s="1"/>
      <c r="AT229" s="1"/>
      <c r="AU229" s="1"/>
      <c r="AV229" s="1"/>
      <c r="AW229" s="1"/>
      <c r="AX229" s="1"/>
      <c r="AY229" s="1"/>
      <c r="AZ229" s="1"/>
    </row>
    <row r="230" spans="27:52" x14ac:dyDescent="0.25">
      <c r="AA230" s="1"/>
      <c r="AB230" s="1"/>
      <c r="AC230" s="31"/>
      <c r="AD230" s="32"/>
      <c r="AE230" s="33">
        <f t="shared" si="16"/>
        <v>19</v>
      </c>
      <c r="AF230" s="41">
        <f t="shared" si="20"/>
        <v>-6</v>
      </c>
      <c r="AG230" s="42">
        <f t="shared" si="21"/>
        <v>0</v>
      </c>
      <c r="AH230" s="42">
        <f t="shared" si="22"/>
        <v>-6</v>
      </c>
      <c r="AI230" s="43">
        <f t="shared" si="23"/>
        <v>0.01</v>
      </c>
      <c r="AJ230" s="2"/>
      <c r="AK230" s="2"/>
      <c r="AL230" s="3"/>
      <c r="AM230" s="1"/>
      <c r="AN230" s="3"/>
      <c r="AO230" s="2"/>
      <c r="AP230" s="4"/>
      <c r="AQ230" s="2"/>
      <c r="AR230" s="5"/>
      <c r="AS230" s="1"/>
      <c r="AT230" s="1"/>
      <c r="AU230" s="1"/>
      <c r="AV230" s="1"/>
      <c r="AW230" s="1"/>
      <c r="AX230" s="1"/>
      <c r="AY230" s="1"/>
      <c r="AZ230" s="1"/>
    </row>
    <row r="231" spans="27:52" x14ac:dyDescent="0.25">
      <c r="AA231" s="1"/>
      <c r="AB231" s="1"/>
      <c r="AC231" s="31"/>
      <c r="AD231" s="32"/>
      <c r="AE231" s="33">
        <f t="shared" si="16"/>
        <v>19</v>
      </c>
      <c r="AF231" s="41">
        <f t="shared" si="20"/>
        <v>-6</v>
      </c>
      <c r="AG231" s="42">
        <f t="shared" si="21"/>
        <v>0</v>
      </c>
      <c r="AH231" s="42">
        <f t="shared" si="22"/>
        <v>-6</v>
      </c>
      <c r="AI231" s="43">
        <f t="shared" si="23"/>
        <v>0.01</v>
      </c>
      <c r="AJ231" s="2"/>
      <c r="AK231" s="2"/>
      <c r="AL231" s="3"/>
      <c r="AM231" s="1"/>
      <c r="AN231" s="3"/>
      <c r="AO231" s="2"/>
      <c r="AP231" s="4"/>
      <c r="AQ231" s="2"/>
      <c r="AR231" s="5"/>
      <c r="AS231" s="1"/>
      <c r="AT231" s="1"/>
      <c r="AU231" s="1"/>
      <c r="AV231" s="1"/>
      <c r="AW231" s="1"/>
      <c r="AX231" s="1"/>
      <c r="AY231" s="1"/>
      <c r="AZ231" s="1"/>
    </row>
    <row r="232" spans="27:52" x14ac:dyDescent="0.25">
      <c r="AA232" s="1"/>
      <c r="AB232" s="1"/>
      <c r="AC232" s="31"/>
      <c r="AD232" s="32"/>
      <c r="AE232" s="33">
        <f t="shared" si="16"/>
        <v>19</v>
      </c>
      <c r="AF232" s="41">
        <f t="shared" si="20"/>
        <v>-6</v>
      </c>
      <c r="AG232" s="42">
        <f t="shared" si="21"/>
        <v>0</v>
      </c>
      <c r="AH232" s="42">
        <f t="shared" si="22"/>
        <v>-6</v>
      </c>
      <c r="AI232" s="43">
        <f t="shared" si="23"/>
        <v>0.01</v>
      </c>
      <c r="AJ232" s="2"/>
      <c r="AK232" s="2"/>
      <c r="AL232" s="3"/>
      <c r="AM232" s="1"/>
      <c r="AN232" s="3"/>
      <c r="AO232" s="2"/>
      <c r="AP232" s="4"/>
      <c r="AQ232" s="2"/>
      <c r="AR232" s="5"/>
      <c r="AS232" s="1"/>
      <c r="AT232" s="1"/>
      <c r="AU232" s="1"/>
      <c r="AV232" s="1"/>
      <c r="AW232" s="1"/>
      <c r="AX232" s="1"/>
      <c r="AY232" s="1"/>
      <c r="AZ232" s="1"/>
    </row>
    <row r="233" spans="27:52" x14ac:dyDescent="0.25">
      <c r="AA233" s="1"/>
      <c r="AB233" s="1"/>
      <c r="AC233" s="31"/>
      <c r="AD233" s="32"/>
      <c r="AE233" s="33">
        <f t="shared" si="16"/>
        <v>19</v>
      </c>
      <c r="AF233" s="41">
        <f t="shared" si="20"/>
        <v>-6</v>
      </c>
      <c r="AG233" s="42">
        <f t="shared" si="21"/>
        <v>0</v>
      </c>
      <c r="AH233" s="42">
        <f t="shared" si="22"/>
        <v>-6</v>
      </c>
      <c r="AI233" s="43">
        <f t="shared" si="23"/>
        <v>0.01</v>
      </c>
      <c r="AJ233" s="2"/>
      <c r="AK233" s="2"/>
      <c r="AL233" s="3"/>
      <c r="AM233" s="1"/>
      <c r="AN233" s="3"/>
      <c r="AO233" s="2"/>
      <c r="AP233" s="4"/>
      <c r="AQ233" s="2"/>
      <c r="AR233" s="5"/>
      <c r="AS233" s="1"/>
      <c r="AT233" s="1"/>
      <c r="AU233" s="1"/>
      <c r="AV233" s="1"/>
      <c r="AW233" s="1"/>
      <c r="AX233" s="1"/>
      <c r="AY233" s="1"/>
      <c r="AZ233" s="1"/>
    </row>
    <row r="234" spans="27:52" x14ac:dyDescent="0.25">
      <c r="AA234" s="1"/>
      <c r="AB234" s="1"/>
      <c r="AC234" s="31"/>
      <c r="AD234" s="32"/>
      <c r="AE234" s="33">
        <f t="shared" si="16"/>
        <v>19</v>
      </c>
      <c r="AF234" s="41">
        <f t="shared" si="20"/>
        <v>-6</v>
      </c>
      <c r="AG234" s="42">
        <f t="shared" si="21"/>
        <v>0</v>
      </c>
      <c r="AH234" s="42">
        <f t="shared" si="22"/>
        <v>-6</v>
      </c>
      <c r="AI234" s="43">
        <f t="shared" si="23"/>
        <v>0.01</v>
      </c>
      <c r="AJ234" s="2"/>
      <c r="AK234" s="2"/>
      <c r="AL234" s="3"/>
      <c r="AM234" s="1"/>
      <c r="AN234" s="3"/>
      <c r="AO234" s="2"/>
      <c r="AP234" s="4"/>
      <c r="AQ234" s="2"/>
      <c r="AR234" s="5"/>
      <c r="AS234" s="1"/>
      <c r="AT234" s="1"/>
      <c r="AU234" s="1"/>
      <c r="AV234" s="1"/>
      <c r="AW234" s="1"/>
      <c r="AX234" s="1"/>
      <c r="AY234" s="1"/>
      <c r="AZ234" s="1"/>
    </row>
    <row r="235" spans="27:52" x14ac:dyDescent="0.25">
      <c r="AA235" s="1"/>
      <c r="AB235" s="1"/>
      <c r="AC235" s="31"/>
      <c r="AD235" s="32"/>
      <c r="AE235" s="33">
        <f t="shared" si="16"/>
        <v>19</v>
      </c>
      <c r="AF235" s="41">
        <f t="shared" si="20"/>
        <v>-6</v>
      </c>
      <c r="AG235" s="42">
        <f t="shared" si="21"/>
        <v>0</v>
      </c>
      <c r="AH235" s="42">
        <f t="shared" si="22"/>
        <v>-6</v>
      </c>
      <c r="AI235" s="43">
        <f t="shared" si="23"/>
        <v>0.01</v>
      </c>
      <c r="AJ235" s="2"/>
      <c r="AK235" s="2"/>
      <c r="AL235" s="3"/>
      <c r="AM235" s="1"/>
      <c r="AN235" s="3"/>
      <c r="AO235" s="2"/>
      <c r="AP235" s="4"/>
      <c r="AQ235" s="2"/>
      <c r="AR235" s="5"/>
      <c r="AS235" s="1"/>
      <c r="AT235" s="1"/>
      <c r="AU235" s="1"/>
      <c r="AV235" s="1"/>
      <c r="AW235" s="1"/>
      <c r="AX235" s="1"/>
      <c r="AY235" s="1"/>
      <c r="AZ235" s="1"/>
    </row>
    <row r="236" spans="27:52" x14ac:dyDescent="0.25">
      <c r="AA236" s="1"/>
      <c r="AB236" s="1"/>
      <c r="AC236" s="31"/>
      <c r="AD236" s="32"/>
      <c r="AE236" s="33">
        <f t="shared" si="16"/>
        <v>19</v>
      </c>
      <c r="AF236" s="41">
        <f t="shared" si="20"/>
        <v>-6</v>
      </c>
      <c r="AG236" s="42">
        <f t="shared" si="21"/>
        <v>0</v>
      </c>
      <c r="AH236" s="42">
        <f t="shared" si="22"/>
        <v>-6</v>
      </c>
      <c r="AI236" s="43">
        <f t="shared" si="23"/>
        <v>0.01</v>
      </c>
      <c r="AJ236" s="2"/>
      <c r="AK236" s="2"/>
      <c r="AL236" s="3"/>
      <c r="AM236" s="1"/>
      <c r="AN236" s="3"/>
      <c r="AO236" s="2"/>
      <c r="AP236" s="4"/>
      <c r="AQ236" s="2"/>
      <c r="AR236" s="5"/>
      <c r="AS236" s="1"/>
      <c r="AT236" s="1"/>
      <c r="AU236" s="1"/>
      <c r="AV236" s="1"/>
      <c r="AW236" s="1"/>
      <c r="AX236" s="1"/>
      <c r="AY236" s="1"/>
      <c r="AZ236" s="1"/>
    </row>
    <row r="237" spans="27:52" x14ac:dyDescent="0.25">
      <c r="AA237" s="1"/>
      <c r="AB237" s="1"/>
      <c r="AC237" s="31"/>
      <c r="AD237" s="32"/>
      <c r="AE237" s="33">
        <f t="shared" si="16"/>
        <v>19</v>
      </c>
      <c r="AF237" s="41">
        <f t="shared" si="20"/>
        <v>-6</v>
      </c>
      <c r="AG237" s="42">
        <f t="shared" si="21"/>
        <v>0</v>
      </c>
      <c r="AH237" s="42">
        <f t="shared" si="22"/>
        <v>-6</v>
      </c>
      <c r="AI237" s="43">
        <f t="shared" si="23"/>
        <v>0.01</v>
      </c>
      <c r="AJ237" s="2"/>
      <c r="AK237" s="2"/>
      <c r="AL237" s="3"/>
      <c r="AM237" s="1"/>
      <c r="AN237" s="3"/>
      <c r="AO237" s="2"/>
      <c r="AP237" s="4"/>
      <c r="AQ237" s="2"/>
      <c r="AR237" s="5"/>
      <c r="AS237" s="1"/>
      <c r="AT237" s="1"/>
      <c r="AU237" s="1"/>
      <c r="AV237" s="1"/>
      <c r="AW237" s="1"/>
      <c r="AX237" s="1"/>
      <c r="AY237" s="1"/>
      <c r="AZ237" s="1"/>
    </row>
    <row r="238" spans="27:52" x14ac:dyDescent="0.25">
      <c r="AA238" s="1"/>
      <c r="AB238" s="1"/>
      <c r="AC238" s="31"/>
      <c r="AD238" s="32"/>
      <c r="AE238" s="33">
        <f t="shared" si="16"/>
        <v>19</v>
      </c>
      <c r="AF238" s="41">
        <f t="shared" si="20"/>
        <v>-6</v>
      </c>
      <c r="AG238" s="42">
        <f t="shared" si="21"/>
        <v>0</v>
      </c>
      <c r="AH238" s="42">
        <f t="shared" si="22"/>
        <v>-6</v>
      </c>
      <c r="AI238" s="43">
        <f t="shared" si="23"/>
        <v>0.01</v>
      </c>
      <c r="AJ238" s="2"/>
      <c r="AK238" s="2"/>
      <c r="AL238" s="3"/>
      <c r="AM238" s="1"/>
      <c r="AN238" s="3"/>
      <c r="AO238" s="2"/>
      <c r="AP238" s="4"/>
      <c r="AQ238" s="2"/>
      <c r="AR238" s="5"/>
      <c r="AS238" s="1"/>
      <c r="AT238" s="1"/>
      <c r="AU238" s="1"/>
      <c r="AV238" s="1"/>
      <c r="AW238" s="1"/>
      <c r="AX238" s="1"/>
      <c r="AY238" s="1"/>
      <c r="AZ238" s="1"/>
    </row>
    <row r="239" spans="27:52" x14ac:dyDescent="0.25">
      <c r="AA239" s="1"/>
      <c r="AB239" s="1"/>
      <c r="AC239" s="31"/>
      <c r="AD239" s="32"/>
      <c r="AE239" s="33">
        <f t="shared" si="16"/>
        <v>19</v>
      </c>
      <c r="AF239" s="41">
        <f t="shared" si="20"/>
        <v>-6</v>
      </c>
      <c r="AG239" s="42">
        <f t="shared" si="21"/>
        <v>0</v>
      </c>
      <c r="AH239" s="42">
        <f t="shared" si="22"/>
        <v>-6</v>
      </c>
      <c r="AI239" s="43">
        <f t="shared" si="23"/>
        <v>0.01</v>
      </c>
      <c r="AJ239" s="2"/>
      <c r="AK239" s="2"/>
      <c r="AL239" s="3"/>
      <c r="AM239" s="1"/>
      <c r="AN239" s="3"/>
      <c r="AO239" s="2"/>
      <c r="AP239" s="4"/>
      <c r="AQ239" s="2"/>
      <c r="AR239" s="5"/>
      <c r="AS239" s="1"/>
      <c r="AT239" s="1"/>
      <c r="AU239" s="1"/>
      <c r="AV239" s="1"/>
      <c r="AW239" s="1"/>
      <c r="AX239" s="1"/>
      <c r="AY239" s="1"/>
      <c r="AZ239" s="1"/>
    </row>
    <row r="240" spans="27:52" x14ac:dyDescent="0.25">
      <c r="AA240" s="1"/>
      <c r="AB240" s="1"/>
      <c r="AC240" s="31"/>
      <c r="AD240" s="32"/>
      <c r="AE240" s="33">
        <f t="shared" si="16"/>
        <v>19</v>
      </c>
      <c r="AF240" s="41">
        <f t="shared" si="20"/>
        <v>-6</v>
      </c>
      <c r="AG240" s="42">
        <f t="shared" si="21"/>
        <v>0</v>
      </c>
      <c r="AH240" s="42">
        <f t="shared" si="22"/>
        <v>-6</v>
      </c>
      <c r="AI240" s="43">
        <f t="shared" si="23"/>
        <v>0.01</v>
      </c>
      <c r="AJ240" s="2"/>
      <c r="AK240" s="2"/>
      <c r="AL240" s="3"/>
      <c r="AM240" s="1"/>
      <c r="AN240" s="3"/>
      <c r="AO240" s="2"/>
      <c r="AP240" s="4"/>
      <c r="AQ240" s="2"/>
      <c r="AR240" s="5"/>
      <c r="AS240" s="1"/>
      <c r="AT240" s="1"/>
      <c r="AU240" s="1"/>
      <c r="AV240" s="1"/>
      <c r="AW240" s="1"/>
      <c r="AX240" s="1"/>
      <c r="AY240" s="1"/>
      <c r="AZ240" s="1"/>
    </row>
    <row r="241" spans="27:52" x14ac:dyDescent="0.25">
      <c r="AA241" s="1"/>
      <c r="AB241" s="1"/>
      <c r="AC241" s="31"/>
      <c r="AD241" s="32"/>
      <c r="AE241" s="33">
        <f t="shared" si="16"/>
        <v>19</v>
      </c>
      <c r="AF241" s="41">
        <f t="shared" si="20"/>
        <v>-6</v>
      </c>
      <c r="AG241" s="42">
        <f t="shared" si="21"/>
        <v>0</v>
      </c>
      <c r="AH241" s="42">
        <f t="shared" si="22"/>
        <v>-6</v>
      </c>
      <c r="AI241" s="43">
        <f t="shared" si="23"/>
        <v>0.01</v>
      </c>
      <c r="AJ241" s="2"/>
      <c r="AK241" s="2"/>
      <c r="AL241" s="3"/>
      <c r="AM241" s="1"/>
      <c r="AN241" s="3"/>
      <c r="AO241" s="2"/>
      <c r="AP241" s="4"/>
      <c r="AQ241" s="2"/>
      <c r="AR241" s="5"/>
      <c r="AS241" s="1"/>
      <c r="AT241" s="1"/>
      <c r="AU241" s="1"/>
      <c r="AV241" s="1"/>
      <c r="AW241" s="1"/>
      <c r="AX241" s="1"/>
      <c r="AY241" s="1"/>
      <c r="AZ241" s="1"/>
    </row>
    <row r="242" spans="27:52" x14ac:dyDescent="0.25">
      <c r="AA242" s="1"/>
      <c r="AB242" s="1"/>
      <c r="AC242" s="31"/>
      <c r="AD242" s="32"/>
      <c r="AE242" s="33">
        <f t="shared" si="16"/>
        <v>19</v>
      </c>
      <c r="AF242" s="41">
        <f t="shared" si="20"/>
        <v>-6</v>
      </c>
      <c r="AG242" s="42">
        <f t="shared" si="21"/>
        <v>0</v>
      </c>
      <c r="AH242" s="42">
        <f t="shared" si="22"/>
        <v>-6</v>
      </c>
      <c r="AI242" s="43">
        <f t="shared" si="23"/>
        <v>0.01</v>
      </c>
      <c r="AJ242" s="2"/>
      <c r="AK242" s="2"/>
      <c r="AL242" s="3"/>
      <c r="AM242" s="1"/>
      <c r="AN242" s="3"/>
      <c r="AO242" s="2"/>
      <c r="AP242" s="4"/>
      <c r="AQ242" s="2"/>
      <c r="AR242" s="5"/>
      <c r="AS242" s="1"/>
      <c r="AT242" s="1"/>
      <c r="AU242" s="1"/>
      <c r="AV242" s="1"/>
      <c r="AW242" s="1"/>
      <c r="AX242" s="1"/>
      <c r="AY242" s="1"/>
      <c r="AZ242" s="1"/>
    </row>
    <row r="243" spans="27:52" x14ac:dyDescent="0.25">
      <c r="AA243" s="1"/>
      <c r="AB243" s="1"/>
      <c r="AC243" s="31"/>
      <c r="AD243" s="32"/>
      <c r="AE243" s="33">
        <f t="shared" si="16"/>
        <v>19</v>
      </c>
      <c r="AF243" s="41">
        <f t="shared" si="20"/>
        <v>-6</v>
      </c>
      <c r="AG243" s="42">
        <f t="shared" si="21"/>
        <v>0</v>
      </c>
      <c r="AH243" s="42">
        <f t="shared" si="22"/>
        <v>-6</v>
      </c>
      <c r="AI243" s="43">
        <f t="shared" si="23"/>
        <v>0.01</v>
      </c>
      <c r="AJ243" s="2"/>
      <c r="AK243" s="2"/>
      <c r="AL243" s="3"/>
      <c r="AM243" s="1"/>
      <c r="AN243" s="3"/>
      <c r="AO243" s="2"/>
      <c r="AP243" s="4"/>
      <c r="AQ243" s="2"/>
      <c r="AR243" s="5"/>
      <c r="AS243" s="1"/>
      <c r="AT243" s="1"/>
      <c r="AU243" s="1"/>
      <c r="AV243" s="1"/>
      <c r="AW243" s="1"/>
      <c r="AX243" s="1"/>
      <c r="AY243" s="1"/>
      <c r="AZ243" s="1"/>
    </row>
    <row r="244" spans="27:52" x14ac:dyDescent="0.25">
      <c r="AA244" s="1"/>
      <c r="AB244" s="1"/>
      <c r="AC244" s="31"/>
      <c r="AD244" s="32"/>
      <c r="AE244" s="33">
        <f t="shared" si="16"/>
        <v>19</v>
      </c>
      <c r="AF244" s="41">
        <f t="shared" si="20"/>
        <v>-6</v>
      </c>
      <c r="AG244" s="42">
        <f t="shared" si="21"/>
        <v>0</v>
      </c>
      <c r="AH244" s="42">
        <f t="shared" si="22"/>
        <v>-6</v>
      </c>
      <c r="AI244" s="43">
        <f t="shared" si="23"/>
        <v>0.01</v>
      </c>
      <c r="AJ244" s="2"/>
      <c r="AK244" s="2"/>
      <c r="AL244" s="3"/>
      <c r="AM244" s="1"/>
      <c r="AN244" s="3"/>
      <c r="AO244" s="2"/>
      <c r="AP244" s="4"/>
      <c r="AQ244" s="2"/>
      <c r="AR244" s="5"/>
      <c r="AS244" s="1"/>
      <c r="AT244" s="1"/>
      <c r="AU244" s="1"/>
      <c r="AV244" s="1"/>
      <c r="AW244" s="1"/>
      <c r="AX244" s="1"/>
      <c r="AY244" s="1"/>
      <c r="AZ244" s="1"/>
    </row>
    <row r="245" spans="27:52" x14ac:dyDescent="0.25">
      <c r="AA245" s="1"/>
      <c r="AB245" s="1"/>
      <c r="AC245" s="31"/>
      <c r="AD245" s="32"/>
      <c r="AE245" s="33">
        <f t="shared" si="16"/>
        <v>19</v>
      </c>
      <c r="AF245" s="41">
        <f t="shared" si="20"/>
        <v>-6</v>
      </c>
      <c r="AG245" s="42">
        <f t="shared" si="21"/>
        <v>0</v>
      </c>
      <c r="AH245" s="42">
        <f t="shared" si="22"/>
        <v>-6</v>
      </c>
      <c r="AI245" s="43">
        <f t="shared" si="23"/>
        <v>0.01</v>
      </c>
      <c r="AJ245" s="2"/>
      <c r="AK245" s="2"/>
      <c r="AL245" s="3"/>
      <c r="AM245" s="1"/>
      <c r="AN245" s="3"/>
      <c r="AO245" s="2"/>
      <c r="AP245" s="4"/>
      <c r="AQ245" s="2"/>
      <c r="AR245" s="5"/>
      <c r="AS245" s="1"/>
      <c r="AT245" s="1"/>
      <c r="AU245" s="1"/>
      <c r="AV245" s="1"/>
      <c r="AW245" s="1"/>
      <c r="AX245" s="1"/>
      <c r="AY245" s="1"/>
      <c r="AZ245" s="1"/>
    </row>
    <row r="246" spans="27:52" x14ac:dyDescent="0.25">
      <c r="AA246" s="1"/>
      <c r="AB246" s="1"/>
      <c r="AC246" s="31"/>
      <c r="AD246" s="32"/>
      <c r="AE246" s="33">
        <f t="shared" si="16"/>
        <v>19</v>
      </c>
      <c r="AF246" s="41">
        <f t="shared" si="20"/>
        <v>-6</v>
      </c>
      <c r="AG246" s="42">
        <f t="shared" si="21"/>
        <v>0</v>
      </c>
      <c r="AH246" s="42">
        <f t="shared" si="22"/>
        <v>-6</v>
      </c>
      <c r="AI246" s="43">
        <f t="shared" si="23"/>
        <v>0.01</v>
      </c>
      <c r="AJ246" s="2"/>
      <c r="AK246" s="2"/>
      <c r="AL246" s="3"/>
      <c r="AM246" s="1"/>
      <c r="AN246" s="3"/>
      <c r="AO246" s="2"/>
      <c r="AP246" s="4"/>
      <c r="AQ246" s="2"/>
      <c r="AR246" s="5"/>
      <c r="AS246" s="1"/>
      <c r="AT246" s="1"/>
      <c r="AU246" s="1"/>
      <c r="AV246" s="1"/>
      <c r="AW246" s="1"/>
      <c r="AX246" s="1"/>
      <c r="AY246" s="1"/>
      <c r="AZ246" s="1"/>
    </row>
    <row r="247" spans="27:52" x14ac:dyDescent="0.25">
      <c r="AA247" s="1"/>
      <c r="AB247" s="1"/>
      <c r="AC247" s="31"/>
      <c r="AD247" s="32"/>
      <c r="AE247" s="33">
        <f t="shared" si="16"/>
        <v>19</v>
      </c>
      <c r="AF247" s="41">
        <f t="shared" si="20"/>
        <v>-6</v>
      </c>
      <c r="AG247" s="42">
        <f t="shared" si="21"/>
        <v>0</v>
      </c>
      <c r="AH247" s="42">
        <f t="shared" si="22"/>
        <v>-6</v>
      </c>
      <c r="AI247" s="43">
        <f t="shared" si="23"/>
        <v>0.01</v>
      </c>
      <c r="AJ247" s="2"/>
      <c r="AK247" s="2"/>
      <c r="AL247" s="3"/>
      <c r="AM247" s="1"/>
      <c r="AN247" s="3"/>
      <c r="AO247" s="2"/>
      <c r="AP247" s="4"/>
      <c r="AQ247" s="2"/>
      <c r="AR247" s="5"/>
      <c r="AS247" s="1"/>
      <c r="AT247" s="1"/>
      <c r="AU247" s="1"/>
      <c r="AV247" s="1"/>
      <c r="AW247" s="1"/>
      <c r="AX247" s="1"/>
      <c r="AY247" s="1"/>
      <c r="AZ247" s="1"/>
    </row>
    <row r="248" spans="27:52" x14ac:dyDescent="0.25">
      <c r="AA248" s="1"/>
      <c r="AB248" s="1"/>
      <c r="AC248" s="31"/>
      <c r="AD248" s="32"/>
      <c r="AE248" s="33">
        <f t="shared" si="16"/>
        <v>19</v>
      </c>
      <c r="AF248" s="41">
        <f t="shared" si="20"/>
        <v>-6</v>
      </c>
      <c r="AG248" s="42">
        <f t="shared" si="21"/>
        <v>0</v>
      </c>
      <c r="AH248" s="42">
        <f t="shared" si="22"/>
        <v>-6</v>
      </c>
      <c r="AI248" s="43">
        <f t="shared" si="23"/>
        <v>0.01</v>
      </c>
      <c r="AJ248" s="2"/>
      <c r="AK248" s="2"/>
      <c r="AL248" s="3"/>
      <c r="AM248" s="1"/>
      <c r="AN248" s="3"/>
      <c r="AO248" s="2"/>
      <c r="AP248" s="4"/>
      <c r="AQ248" s="2"/>
      <c r="AR248" s="5"/>
      <c r="AS248" s="1"/>
      <c r="AT248" s="1"/>
      <c r="AU248" s="1"/>
      <c r="AV248" s="1"/>
      <c r="AW248" s="1"/>
      <c r="AX248" s="1"/>
      <c r="AY248" s="1"/>
      <c r="AZ248" s="1"/>
    </row>
    <row r="249" spans="27:52" x14ac:dyDescent="0.25">
      <c r="AA249" s="1"/>
      <c r="AB249" s="1"/>
      <c r="AC249" s="31"/>
      <c r="AD249" s="32"/>
      <c r="AE249" s="33">
        <f t="shared" si="16"/>
        <v>19</v>
      </c>
      <c r="AF249" s="41">
        <f t="shared" si="20"/>
        <v>-6</v>
      </c>
      <c r="AG249" s="42">
        <f t="shared" si="21"/>
        <v>0</v>
      </c>
      <c r="AH249" s="42">
        <f t="shared" si="22"/>
        <v>-6</v>
      </c>
      <c r="AI249" s="43">
        <f t="shared" si="23"/>
        <v>0.01</v>
      </c>
      <c r="AJ249" s="2"/>
      <c r="AK249" s="2"/>
      <c r="AL249" s="3"/>
      <c r="AM249" s="1"/>
      <c r="AN249" s="3"/>
      <c r="AO249" s="2"/>
      <c r="AP249" s="4"/>
      <c r="AQ249" s="2"/>
      <c r="AR249" s="5"/>
      <c r="AS249" s="1"/>
      <c r="AT249" s="1"/>
      <c r="AU249" s="1"/>
      <c r="AV249" s="1"/>
      <c r="AW249" s="1"/>
      <c r="AX249" s="1"/>
      <c r="AY249" s="1"/>
      <c r="AZ249" s="1"/>
    </row>
    <row r="250" spans="27:52" x14ac:dyDescent="0.25">
      <c r="AA250" s="1"/>
      <c r="AB250" s="1"/>
      <c r="AC250" s="31"/>
      <c r="AD250" s="32"/>
      <c r="AE250" s="33">
        <f t="shared" si="16"/>
        <v>19</v>
      </c>
      <c r="AF250" s="41">
        <f t="shared" si="20"/>
        <v>-6</v>
      </c>
      <c r="AG250" s="42">
        <f t="shared" si="21"/>
        <v>0</v>
      </c>
      <c r="AH250" s="42">
        <f t="shared" si="22"/>
        <v>-6</v>
      </c>
      <c r="AI250" s="43">
        <f t="shared" si="23"/>
        <v>0.01</v>
      </c>
      <c r="AJ250" s="2"/>
      <c r="AK250" s="2"/>
      <c r="AL250" s="3"/>
      <c r="AM250" s="1"/>
      <c r="AN250" s="3"/>
      <c r="AO250" s="2"/>
      <c r="AP250" s="4"/>
      <c r="AQ250" s="2"/>
      <c r="AR250" s="5"/>
      <c r="AS250" s="1"/>
      <c r="AT250" s="1"/>
      <c r="AU250" s="1"/>
      <c r="AV250" s="1"/>
      <c r="AW250" s="1"/>
      <c r="AX250" s="1"/>
      <c r="AY250" s="1"/>
      <c r="AZ250" s="1"/>
    </row>
    <row r="251" spans="27:52" x14ac:dyDescent="0.25">
      <c r="AA251" s="1"/>
      <c r="AB251" s="1"/>
      <c r="AC251" s="31"/>
      <c r="AD251" s="32"/>
      <c r="AE251" s="33">
        <f t="shared" si="16"/>
        <v>19</v>
      </c>
      <c r="AF251" s="41">
        <f t="shared" si="20"/>
        <v>-6</v>
      </c>
      <c r="AG251" s="42">
        <f t="shared" si="21"/>
        <v>0</v>
      </c>
      <c r="AH251" s="42">
        <f t="shared" si="22"/>
        <v>-6</v>
      </c>
      <c r="AI251" s="43">
        <f t="shared" si="23"/>
        <v>0.01</v>
      </c>
      <c r="AJ251" s="2"/>
      <c r="AK251" s="2"/>
      <c r="AL251" s="3"/>
      <c r="AM251" s="1"/>
      <c r="AN251" s="3"/>
      <c r="AO251" s="2"/>
      <c r="AP251" s="4"/>
      <c r="AQ251" s="2"/>
      <c r="AR251" s="5"/>
      <c r="AS251" s="1"/>
      <c r="AT251" s="1"/>
      <c r="AU251" s="1"/>
      <c r="AV251" s="1"/>
      <c r="AW251" s="1"/>
      <c r="AX251" s="1"/>
      <c r="AY251" s="1"/>
      <c r="AZ251" s="1"/>
    </row>
    <row r="252" spans="27:52" x14ac:dyDescent="0.25">
      <c r="AA252" s="1"/>
      <c r="AB252" s="1"/>
      <c r="AC252" s="31"/>
      <c r="AD252" s="32"/>
      <c r="AE252" s="33">
        <f t="shared" si="16"/>
        <v>19</v>
      </c>
      <c r="AF252" s="41">
        <f t="shared" si="20"/>
        <v>-6</v>
      </c>
      <c r="AG252" s="42">
        <f t="shared" si="21"/>
        <v>0</v>
      </c>
      <c r="AH252" s="42">
        <f t="shared" si="22"/>
        <v>-6</v>
      </c>
      <c r="AI252" s="43">
        <f t="shared" si="23"/>
        <v>0.01</v>
      </c>
      <c r="AJ252" s="2"/>
      <c r="AK252" s="2"/>
      <c r="AL252" s="3"/>
      <c r="AM252" s="1"/>
      <c r="AN252" s="3"/>
      <c r="AO252" s="2"/>
      <c r="AP252" s="4"/>
      <c r="AQ252" s="2"/>
      <c r="AR252" s="5"/>
      <c r="AS252" s="1"/>
      <c r="AT252" s="1"/>
      <c r="AU252" s="1"/>
      <c r="AV252" s="1"/>
      <c r="AW252" s="1"/>
      <c r="AX252" s="1"/>
      <c r="AY252" s="1"/>
      <c r="AZ252" s="1"/>
    </row>
    <row r="253" spans="27:52" x14ac:dyDescent="0.25">
      <c r="AA253" s="1"/>
      <c r="AB253" s="1"/>
      <c r="AC253" s="31"/>
      <c r="AD253" s="32"/>
      <c r="AE253" s="33">
        <f t="shared" si="16"/>
        <v>19</v>
      </c>
      <c r="AF253" s="41">
        <f t="shared" si="20"/>
        <v>-6</v>
      </c>
      <c r="AG253" s="42">
        <f t="shared" si="21"/>
        <v>0</v>
      </c>
      <c r="AH253" s="42">
        <f t="shared" si="22"/>
        <v>-6</v>
      </c>
      <c r="AI253" s="43">
        <f t="shared" si="23"/>
        <v>0.01</v>
      </c>
      <c r="AJ253" s="2"/>
      <c r="AK253" s="2"/>
      <c r="AL253" s="3"/>
      <c r="AM253" s="1"/>
      <c r="AN253" s="3"/>
      <c r="AO253" s="2"/>
      <c r="AP253" s="4"/>
      <c r="AQ253" s="2"/>
      <c r="AR253" s="5"/>
      <c r="AS253" s="1"/>
      <c r="AT253" s="1"/>
      <c r="AU253" s="1"/>
      <c r="AV253" s="1"/>
      <c r="AW253" s="1"/>
      <c r="AX253" s="1"/>
      <c r="AY253" s="1"/>
      <c r="AZ253" s="1"/>
    </row>
    <row r="254" spans="27:52" x14ac:dyDescent="0.25">
      <c r="AA254" s="1"/>
      <c r="AB254" s="1"/>
      <c r="AC254" s="31"/>
      <c r="AD254" s="32"/>
      <c r="AE254" s="33">
        <f t="shared" si="16"/>
        <v>19</v>
      </c>
      <c r="AF254" s="41">
        <f t="shared" si="20"/>
        <v>-6</v>
      </c>
      <c r="AG254" s="42">
        <f t="shared" si="21"/>
        <v>0</v>
      </c>
      <c r="AH254" s="42">
        <f t="shared" si="22"/>
        <v>-6</v>
      </c>
      <c r="AI254" s="43">
        <f t="shared" si="23"/>
        <v>0.01</v>
      </c>
      <c r="AJ254" s="2"/>
      <c r="AK254" s="2"/>
      <c r="AL254" s="3"/>
      <c r="AM254" s="1"/>
      <c r="AN254" s="3"/>
      <c r="AO254" s="2"/>
      <c r="AP254" s="4"/>
      <c r="AQ254" s="2"/>
      <c r="AR254" s="5"/>
      <c r="AS254" s="1"/>
      <c r="AT254" s="1"/>
      <c r="AU254" s="1"/>
      <c r="AV254" s="1"/>
      <c r="AW254" s="1"/>
      <c r="AX254" s="1"/>
      <c r="AY254" s="1"/>
      <c r="AZ254" s="1"/>
    </row>
    <row r="255" spans="27:52" x14ac:dyDescent="0.25">
      <c r="AA255" s="1"/>
      <c r="AB255" s="1"/>
      <c r="AC255" s="31"/>
      <c r="AD255" s="32"/>
      <c r="AE255" s="33">
        <f t="shared" si="16"/>
        <v>19</v>
      </c>
      <c r="AF255" s="41">
        <f t="shared" si="20"/>
        <v>-6</v>
      </c>
      <c r="AG255" s="42">
        <f t="shared" si="21"/>
        <v>0</v>
      </c>
      <c r="AH255" s="42">
        <f t="shared" si="22"/>
        <v>-6</v>
      </c>
      <c r="AI255" s="43">
        <f t="shared" si="23"/>
        <v>0.01</v>
      </c>
      <c r="AJ255" s="2"/>
      <c r="AK255" s="2"/>
      <c r="AL255" s="3"/>
      <c r="AM255" s="1"/>
      <c r="AN255" s="3"/>
      <c r="AO255" s="2"/>
      <c r="AP255" s="4"/>
      <c r="AQ255" s="2"/>
      <c r="AR255" s="5"/>
      <c r="AS255" s="1"/>
      <c r="AT255" s="1"/>
      <c r="AU255" s="1"/>
      <c r="AV255" s="1"/>
      <c r="AW255" s="1"/>
      <c r="AX255" s="1"/>
      <c r="AY255" s="1"/>
      <c r="AZ255" s="1"/>
    </row>
    <row r="256" spans="27:52" x14ac:dyDescent="0.25">
      <c r="AA256" s="1"/>
      <c r="AB256" s="1"/>
      <c r="AC256" s="31"/>
      <c r="AD256" s="32"/>
      <c r="AE256" s="33">
        <f t="shared" si="16"/>
        <v>19</v>
      </c>
      <c r="AF256" s="41">
        <f t="shared" si="20"/>
        <v>-6</v>
      </c>
      <c r="AG256" s="42">
        <f t="shared" si="21"/>
        <v>0</v>
      </c>
      <c r="AH256" s="42">
        <f t="shared" si="22"/>
        <v>-6</v>
      </c>
      <c r="AI256" s="43">
        <f t="shared" si="23"/>
        <v>0.01</v>
      </c>
      <c r="AJ256" s="2"/>
      <c r="AK256" s="2"/>
      <c r="AL256" s="3"/>
      <c r="AM256" s="1"/>
      <c r="AN256" s="3"/>
      <c r="AO256" s="2"/>
      <c r="AP256" s="4"/>
      <c r="AQ256" s="2"/>
      <c r="AR256" s="5"/>
      <c r="AS256" s="1"/>
      <c r="AT256" s="1"/>
      <c r="AU256" s="1"/>
      <c r="AV256" s="1"/>
      <c r="AW256" s="1"/>
      <c r="AX256" s="1"/>
      <c r="AY256" s="1"/>
      <c r="AZ256" s="1"/>
    </row>
    <row r="257" spans="27:52" x14ac:dyDescent="0.25">
      <c r="AA257" s="1"/>
      <c r="AB257" s="1"/>
      <c r="AC257" s="31"/>
      <c r="AD257" s="32"/>
      <c r="AE257" s="33">
        <f t="shared" si="16"/>
        <v>19</v>
      </c>
      <c r="AF257" s="41">
        <f t="shared" si="20"/>
        <v>-6</v>
      </c>
      <c r="AG257" s="42">
        <f t="shared" si="21"/>
        <v>0</v>
      </c>
      <c r="AH257" s="42">
        <f t="shared" si="22"/>
        <v>-6</v>
      </c>
      <c r="AI257" s="43">
        <f t="shared" si="23"/>
        <v>0.01</v>
      </c>
      <c r="AJ257" s="2"/>
      <c r="AK257" s="2"/>
      <c r="AL257" s="3"/>
      <c r="AM257" s="1"/>
      <c r="AN257" s="3"/>
      <c r="AO257" s="2"/>
      <c r="AP257" s="4"/>
      <c r="AQ257" s="2"/>
      <c r="AR257" s="5"/>
      <c r="AS257" s="1"/>
      <c r="AT257" s="1"/>
      <c r="AU257" s="1"/>
      <c r="AV257" s="1"/>
      <c r="AW257" s="1"/>
      <c r="AX257" s="1"/>
      <c r="AY257" s="1"/>
      <c r="AZ257" s="1"/>
    </row>
    <row r="258" spans="27:52" x14ac:dyDescent="0.25">
      <c r="AA258" s="1"/>
      <c r="AB258" s="1"/>
      <c r="AC258" s="31"/>
      <c r="AD258" s="32"/>
      <c r="AE258" s="33">
        <f t="shared" si="16"/>
        <v>19</v>
      </c>
      <c r="AF258" s="41">
        <f t="shared" si="20"/>
        <v>-6</v>
      </c>
      <c r="AG258" s="42">
        <f t="shared" si="21"/>
        <v>0</v>
      </c>
      <c r="AH258" s="42">
        <f t="shared" si="22"/>
        <v>-6</v>
      </c>
      <c r="AI258" s="43">
        <f t="shared" si="23"/>
        <v>0.01</v>
      </c>
      <c r="AJ258" s="2"/>
      <c r="AK258" s="2"/>
      <c r="AL258" s="3"/>
      <c r="AM258" s="1"/>
      <c r="AN258" s="3"/>
      <c r="AO258" s="2"/>
      <c r="AP258" s="4"/>
      <c r="AQ258" s="2"/>
      <c r="AR258" s="5"/>
      <c r="AS258" s="1"/>
      <c r="AT258" s="1"/>
      <c r="AU258" s="1"/>
      <c r="AV258" s="1"/>
      <c r="AW258" s="1"/>
      <c r="AX258" s="1"/>
      <c r="AY258" s="1"/>
      <c r="AZ258" s="1"/>
    </row>
    <row r="259" spans="27:52" x14ac:dyDescent="0.25">
      <c r="AA259" s="1"/>
      <c r="AB259" s="1"/>
      <c r="AC259" s="31"/>
      <c r="AD259" s="32"/>
      <c r="AE259" s="33">
        <f t="shared" ref="AE259:AE322" si="24">AE258</f>
        <v>19</v>
      </c>
      <c r="AF259" s="41">
        <f t="shared" si="20"/>
        <v>-6</v>
      </c>
      <c r="AG259" s="42">
        <f t="shared" si="21"/>
        <v>0</v>
      </c>
      <c r="AH259" s="42">
        <f t="shared" si="22"/>
        <v>-6</v>
      </c>
      <c r="AI259" s="43">
        <f t="shared" si="23"/>
        <v>0.01</v>
      </c>
      <c r="AJ259" s="2"/>
      <c r="AK259" s="2"/>
      <c r="AL259" s="3"/>
      <c r="AM259" s="1"/>
      <c r="AN259" s="3"/>
      <c r="AO259" s="2"/>
      <c r="AP259" s="4"/>
      <c r="AQ259" s="2"/>
      <c r="AR259" s="5"/>
      <c r="AS259" s="1"/>
      <c r="AT259" s="1"/>
      <c r="AU259" s="1"/>
      <c r="AV259" s="1"/>
      <c r="AW259" s="1"/>
      <c r="AX259" s="1"/>
      <c r="AY259" s="1"/>
      <c r="AZ259" s="1"/>
    </row>
    <row r="260" spans="27:52" x14ac:dyDescent="0.25">
      <c r="AA260" s="1"/>
      <c r="AB260" s="1"/>
      <c r="AC260" s="31"/>
      <c r="AD260" s="32"/>
      <c r="AE260" s="33">
        <f t="shared" si="24"/>
        <v>19</v>
      </c>
      <c r="AF260" s="41">
        <f t="shared" si="20"/>
        <v>-6</v>
      </c>
      <c r="AG260" s="42">
        <f t="shared" si="21"/>
        <v>0</v>
      </c>
      <c r="AH260" s="42">
        <f t="shared" si="22"/>
        <v>-6</v>
      </c>
      <c r="AI260" s="43">
        <f t="shared" si="23"/>
        <v>0.01</v>
      </c>
      <c r="AJ260" s="2"/>
      <c r="AK260" s="2"/>
      <c r="AL260" s="3"/>
      <c r="AM260" s="1"/>
      <c r="AN260" s="3"/>
      <c r="AO260" s="2"/>
      <c r="AP260" s="4"/>
      <c r="AQ260" s="2"/>
      <c r="AR260" s="5"/>
      <c r="AS260" s="1"/>
      <c r="AT260" s="1"/>
      <c r="AU260" s="1"/>
      <c r="AV260" s="1"/>
      <c r="AW260" s="1"/>
      <c r="AX260" s="1"/>
      <c r="AY260" s="1"/>
      <c r="AZ260" s="1"/>
    </row>
    <row r="261" spans="27:52" x14ac:dyDescent="0.25">
      <c r="AA261" s="1"/>
      <c r="AB261" s="1"/>
      <c r="AC261" s="31"/>
      <c r="AD261" s="32"/>
      <c r="AE261" s="33">
        <f t="shared" si="24"/>
        <v>19</v>
      </c>
      <c r="AF261" s="41">
        <f t="shared" si="20"/>
        <v>-6</v>
      </c>
      <c r="AG261" s="42">
        <f t="shared" si="21"/>
        <v>0</v>
      </c>
      <c r="AH261" s="42">
        <f t="shared" si="22"/>
        <v>-6</v>
      </c>
      <c r="AI261" s="43">
        <f t="shared" si="23"/>
        <v>0.01</v>
      </c>
      <c r="AJ261" s="2"/>
      <c r="AK261" s="2"/>
      <c r="AL261" s="3"/>
      <c r="AM261" s="1"/>
      <c r="AN261" s="3"/>
      <c r="AO261" s="2"/>
      <c r="AP261" s="4"/>
      <c r="AQ261" s="2"/>
      <c r="AR261" s="5"/>
      <c r="AS261" s="1"/>
      <c r="AT261" s="1"/>
      <c r="AU261" s="1"/>
      <c r="AV261" s="1"/>
      <c r="AW261" s="1"/>
      <c r="AX261" s="1"/>
      <c r="AY261" s="1"/>
      <c r="AZ261" s="1"/>
    </row>
    <row r="262" spans="27:52" x14ac:dyDescent="0.25">
      <c r="AA262" s="1"/>
      <c r="AB262" s="1"/>
      <c r="AC262" s="31"/>
      <c r="AD262" s="32"/>
      <c r="AE262" s="33">
        <f t="shared" si="24"/>
        <v>19</v>
      </c>
      <c r="AF262" s="41">
        <f t="shared" si="20"/>
        <v>-6</v>
      </c>
      <c r="AG262" s="42">
        <f t="shared" si="21"/>
        <v>0</v>
      </c>
      <c r="AH262" s="42">
        <f t="shared" si="22"/>
        <v>-6</v>
      </c>
      <c r="AI262" s="43">
        <f t="shared" si="23"/>
        <v>0.01</v>
      </c>
      <c r="AJ262" s="2"/>
      <c r="AK262" s="2"/>
      <c r="AL262" s="3"/>
      <c r="AM262" s="1"/>
      <c r="AN262" s="3"/>
      <c r="AO262" s="2"/>
      <c r="AP262" s="4"/>
      <c r="AQ262" s="2"/>
      <c r="AR262" s="5"/>
      <c r="AS262" s="1"/>
      <c r="AT262" s="1"/>
      <c r="AU262" s="1"/>
      <c r="AV262" s="1"/>
      <c r="AW262" s="1"/>
      <c r="AX262" s="1"/>
      <c r="AY262" s="1"/>
      <c r="AZ262" s="1"/>
    </row>
    <row r="263" spans="27:52" x14ac:dyDescent="0.25">
      <c r="AA263" s="1"/>
      <c r="AB263" s="1"/>
      <c r="AC263" s="31"/>
      <c r="AD263" s="32"/>
      <c r="AE263" s="33">
        <f t="shared" si="24"/>
        <v>19</v>
      </c>
      <c r="AF263" s="41">
        <f t="shared" si="20"/>
        <v>-6</v>
      </c>
      <c r="AG263" s="42">
        <f t="shared" si="21"/>
        <v>0</v>
      </c>
      <c r="AH263" s="42">
        <f t="shared" si="22"/>
        <v>-6</v>
      </c>
      <c r="AI263" s="43">
        <f t="shared" si="23"/>
        <v>0.01</v>
      </c>
      <c r="AJ263" s="2"/>
      <c r="AK263" s="2"/>
      <c r="AL263" s="3"/>
      <c r="AM263" s="1"/>
      <c r="AN263" s="3"/>
      <c r="AO263" s="2"/>
      <c r="AP263" s="4"/>
      <c r="AQ263" s="2"/>
      <c r="AR263" s="5"/>
      <c r="AS263" s="1"/>
      <c r="AT263" s="1"/>
      <c r="AU263" s="1"/>
      <c r="AV263" s="1"/>
      <c r="AW263" s="1"/>
      <c r="AX263" s="1"/>
      <c r="AY263" s="1"/>
      <c r="AZ263" s="1"/>
    </row>
    <row r="264" spans="27:52" x14ac:dyDescent="0.25">
      <c r="AA264" s="1"/>
      <c r="AB264" s="1"/>
      <c r="AC264" s="31"/>
      <c r="AD264" s="32"/>
      <c r="AE264" s="33">
        <f t="shared" si="24"/>
        <v>19</v>
      </c>
      <c r="AF264" s="41">
        <f t="shared" si="20"/>
        <v>-6</v>
      </c>
      <c r="AG264" s="42">
        <f t="shared" si="21"/>
        <v>0</v>
      </c>
      <c r="AH264" s="42">
        <f t="shared" si="22"/>
        <v>-6</v>
      </c>
      <c r="AI264" s="43">
        <f t="shared" si="23"/>
        <v>0.01</v>
      </c>
      <c r="AJ264" s="2"/>
      <c r="AK264" s="2"/>
      <c r="AL264" s="3"/>
      <c r="AM264" s="1"/>
      <c r="AN264" s="3"/>
      <c r="AO264" s="2"/>
      <c r="AP264" s="4"/>
      <c r="AQ264" s="2"/>
      <c r="AR264" s="5"/>
      <c r="AS264" s="1"/>
      <c r="AT264" s="1"/>
      <c r="AU264" s="1"/>
      <c r="AV264" s="1"/>
      <c r="AW264" s="1"/>
      <c r="AX264" s="1"/>
      <c r="AY264" s="1"/>
      <c r="AZ264" s="1"/>
    </row>
    <row r="265" spans="27:52" x14ac:dyDescent="0.25">
      <c r="AA265" s="1"/>
      <c r="AB265" s="1"/>
      <c r="AC265" s="31"/>
      <c r="AD265" s="32"/>
      <c r="AE265" s="33">
        <f t="shared" si="24"/>
        <v>19</v>
      </c>
      <c r="AF265" s="41">
        <f t="shared" si="20"/>
        <v>-6</v>
      </c>
      <c r="AG265" s="42">
        <f t="shared" si="21"/>
        <v>0</v>
      </c>
      <c r="AH265" s="42">
        <f t="shared" si="22"/>
        <v>-6</v>
      </c>
      <c r="AI265" s="43">
        <f t="shared" si="23"/>
        <v>0.01</v>
      </c>
      <c r="AJ265" s="2"/>
      <c r="AK265" s="2"/>
      <c r="AL265" s="3"/>
      <c r="AM265" s="1"/>
      <c r="AN265" s="3"/>
      <c r="AO265" s="2"/>
      <c r="AP265" s="4"/>
      <c r="AQ265" s="2"/>
      <c r="AR265" s="5"/>
      <c r="AS265" s="1"/>
      <c r="AT265" s="1"/>
      <c r="AU265" s="1"/>
      <c r="AV265" s="1"/>
      <c r="AW265" s="1"/>
      <c r="AX265" s="1"/>
      <c r="AY265" s="1"/>
      <c r="AZ265" s="1"/>
    </row>
    <row r="266" spans="27:52" x14ac:dyDescent="0.25">
      <c r="AA266" s="1"/>
      <c r="AB266" s="1"/>
      <c r="AC266" s="31"/>
      <c r="AD266" s="32"/>
      <c r="AE266" s="33">
        <f t="shared" si="24"/>
        <v>19</v>
      </c>
      <c r="AF266" s="41">
        <f t="shared" ref="AF266:AF329" si="25">IF(AF265+(AH265/AE266)&lt;AH265,AH265,AF265+(AH265/AE266))</f>
        <v>-6</v>
      </c>
      <c r="AG266" s="42">
        <f t="shared" ref="AG266:AG329" si="26">AI266*(1-(AF266/AH266))^2</f>
        <v>0</v>
      </c>
      <c r="AH266" s="42">
        <f t="shared" ref="AH266:AH329" si="27">AH265</f>
        <v>-6</v>
      </c>
      <c r="AI266" s="43">
        <f t="shared" ref="AI266:AI329" si="28">AI265</f>
        <v>0.01</v>
      </c>
      <c r="AJ266" s="2"/>
      <c r="AK266" s="2"/>
      <c r="AL266" s="3"/>
      <c r="AM266" s="1"/>
      <c r="AN266" s="3"/>
      <c r="AO266" s="2"/>
      <c r="AP266" s="4"/>
      <c r="AQ266" s="2"/>
      <c r="AR266" s="5"/>
      <c r="AS266" s="1"/>
      <c r="AT266" s="1"/>
      <c r="AU266" s="1"/>
      <c r="AV266" s="1"/>
      <c r="AW266" s="1"/>
      <c r="AX266" s="1"/>
      <c r="AY266" s="1"/>
      <c r="AZ266" s="1"/>
    </row>
    <row r="267" spans="27:52" x14ac:dyDescent="0.25">
      <c r="AA267" s="1"/>
      <c r="AB267" s="1"/>
      <c r="AC267" s="31"/>
      <c r="AD267" s="32"/>
      <c r="AE267" s="33">
        <f t="shared" si="24"/>
        <v>19</v>
      </c>
      <c r="AF267" s="41">
        <f t="shared" si="25"/>
        <v>-6</v>
      </c>
      <c r="AG267" s="42">
        <f t="shared" si="26"/>
        <v>0</v>
      </c>
      <c r="AH267" s="42">
        <f t="shared" si="27"/>
        <v>-6</v>
      </c>
      <c r="AI267" s="43">
        <f t="shared" si="28"/>
        <v>0.01</v>
      </c>
      <c r="AJ267" s="2"/>
      <c r="AK267" s="2"/>
      <c r="AL267" s="3"/>
      <c r="AM267" s="1"/>
      <c r="AN267" s="3"/>
      <c r="AO267" s="2"/>
      <c r="AP267" s="4"/>
      <c r="AQ267" s="2"/>
      <c r="AR267" s="5"/>
      <c r="AS267" s="1"/>
      <c r="AT267" s="1"/>
      <c r="AU267" s="1"/>
      <c r="AV267" s="1"/>
      <c r="AW267" s="1"/>
      <c r="AX267" s="1"/>
      <c r="AY267" s="1"/>
      <c r="AZ267" s="1"/>
    </row>
    <row r="268" spans="27:52" x14ac:dyDescent="0.25">
      <c r="AA268" s="1"/>
      <c r="AB268" s="1"/>
      <c r="AC268" s="31"/>
      <c r="AD268" s="32"/>
      <c r="AE268" s="33">
        <f t="shared" si="24"/>
        <v>19</v>
      </c>
      <c r="AF268" s="41">
        <f t="shared" si="25"/>
        <v>-6</v>
      </c>
      <c r="AG268" s="42">
        <f t="shared" si="26"/>
        <v>0</v>
      </c>
      <c r="AH268" s="42">
        <f t="shared" si="27"/>
        <v>-6</v>
      </c>
      <c r="AI268" s="43">
        <f t="shared" si="28"/>
        <v>0.01</v>
      </c>
      <c r="AJ268" s="2"/>
      <c r="AK268" s="2"/>
      <c r="AL268" s="3"/>
      <c r="AM268" s="1"/>
      <c r="AN268" s="3"/>
      <c r="AO268" s="2"/>
      <c r="AP268" s="4"/>
      <c r="AQ268" s="2"/>
      <c r="AR268" s="5"/>
      <c r="AS268" s="1"/>
      <c r="AT268" s="1"/>
      <c r="AU268" s="1"/>
      <c r="AV268" s="1"/>
      <c r="AW268" s="1"/>
      <c r="AX268" s="1"/>
      <c r="AY268" s="1"/>
      <c r="AZ268" s="1"/>
    </row>
    <row r="269" spans="27:52" x14ac:dyDescent="0.25">
      <c r="AA269" s="1"/>
      <c r="AB269" s="1"/>
      <c r="AC269" s="31"/>
      <c r="AD269" s="32"/>
      <c r="AE269" s="33">
        <f t="shared" si="24"/>
        <v>19</v>
      </c>
      <c r="AF269" s="41">
        <f t="shared" si="25"/>
        <v>-6</v>
      </c>
      <c r="AG269" s="42">
        <f t="shared" si="26"/>
        <v>0</v>
      </c>
      <c r="AH269" s="42">
        <f t="shared" si="27"/>
        <v>-6</v>
      </c>
      <c r="AI269" s="43">
        <f t="shared" si="28"/>
        <v>0.01</v>
      </c>
      <c r="AJ269" s="2"/>
      <c r="AK269" s="2"/>
      <c r="AL269" s="3"/>
      <c r="AM269" s="1"/>
      <c r="AN269" s="3"/>
      <c r="AO269" s="2"/>
      <c r="AP269" s="4"/>
      <c r="AQ269" s="2"/>
      <c r="AR269" s="5"/>
      <c r="AS269" s="1"/>
      <c r="AT269" s="1"/>
      <c r="AU269" s="1"/>
      <c r="AV269" s="1"/>
      <c r="AW269" s="1"/>
      <c r="AX269" s="1"/>
      <c r="AY269" s="1"/>
      <c r="AZ269" s="1"/>
    </row>
    <row r="270" spans="27:52" x14ac:dyDescent="0.25">
      <c r="AA270" s="1"/>
      <c r="AB270" s="1"/>
      <c r="AC270" s="31"/>
      <c r="AD270" s="32"/>
      <c r="AE270" s="33">
        <f t="shared" si="24"/>
        <v>19</v>
      </c>
      <c r="AF270" s="41">
        <f t="shared" si="25"/>
        <v>-6</v>
      </c>
      <c r="AG270" s="42">
        <f t="shared" si="26"/>
        <v>0</v>
      </c>
      <c r="AH270" s="42">
        <f t="shared" si="27"/>
        <v>-6</v>
      </c>
      <c r="AI270" s="43">
        <f t="shared" si="28"/>
        <v>0.01</v>
      </c>
      <c r="AJ270" s="2"/>
      <c r="AK270" s="2"/>
      <c r="AL270" s="3"/>
      <c r="AM270" s="1"/>
      <c r="AN270" s="3"/>
      <c r="AO270" s="2"/>
      <c r="AP270" s="4"/>
      <c r="AQ270" s="2"/>
      <c r="AR270" s="5"/>
      <c r="AS270" s="1"/>
      <c r="AT270" s="1"/>
      <c r="AU270" s="1"/>
      <c r="AV270" s="1"/>
      <c r="AW270" s="1"/>
      <c r="AX270" s="1"/>
      <c r="AY270" s="1"/>
      <c r="AZ270" s="1"/>
    </row>
    <row r="271" spans="27:52" x14ac:dyDescent="0.25">
      <c r="AA271" s="1"/>
      <c r="AB271" s="1"/>
      <c r="AC271" s="31"/>
      <c r="AD271" s="32"/>
      <c r="AE271" s="33">
        <f t="shared" si="24"/>
        <v>19</v>
      </c>
      <c r="AF271" s="41">
        <f t="shared" si="25"/>
        <v>-6</v>
      </c>
      <c r="AG271" s="42">
        <f t="shared" si="26"/>
        <v>0</v>
      </c>
      <c r="AH271" s="42">
        <f t="shared" si="27"/>
        <v>-6</v>
      </c>
      <c r="AI271" s="43">
        <f t="shared" si="28"/>
        <v>0.01</v>
      </c>
      <c r="AJ271" s="2"/>
      <c r="AK271" s="2"/>
      <c r="AL271" s="3"/>
      <c r="AM271" s="1"/>
      <c r="AN271" s="3"/>
      <c r="AO271" s="2"/>
      <c r="AP271" s="4"/>
      <c r="AQ271" s="2"/>
      <c r="AR271" s="5"/>
      <c r="AS271" s="1"/>
      <c r="AT271" s="1"/>
      <c r="AU271" s="1"/>
      <c r="AV271" s="1"/>
      <c r="AW271" s="1"/>
      <c r="AX271" s="1"/>
      <c r="AY271" s="1"/>
      <c r="AZ271" s="1"/>
    </row>
    <row r="272" spans="27:52" x14ac:dyDescent="0.25">
      <c r="AA272" s="1"/>
      <c r="AB272" s="1"/>
      <c r="AC272" s="31"/>
      <c r="AD272" s="32"/>
      <c r="AE272" s="33">
        <f t="shared" si="24"/>
        <v>19</v>
      </c>
      <c r="AF272" s="41">
        <f t="shared" si="25"/>
        <v>-6</v>
      </c>
      <c r="AG272" s="42">
        <f t="shared" si="26"/>
        <v>0</v>
      </c>
      <c r="AH272" s="42">
        <f t="shared" si="27"/>
        <v>-6</v>
      </c>
      <c r="AI272" s="43">
        <f t="shared" si="28"/>
        <v>0.01</v>
      </c>
      <c r="AJ272" s="2"/>
      <c r="AK272" s="2"/>
      <c r="AL272" s="3"/>
      <c r="AM272" s="1"/>
      <c r="AN272" s="3"/>
      <c r="AO272" s="2"/>
      <c r="AP272" s="4"/>
      <c r="AQ272" s="2"/>
      <c r="AR272" s="5"/>
      <c r="AS272" s="1"/>
      <c r="AT272" s="1"/>
      <c r="AU272" s="1"/>
      <c r="AV272" s="1"/>
      <c r="AW272" s="1"/>
      <c r="AX272" s="1"/>
      <c r="AY272" s="1"/>
      <c r="AZ272" s="1"/>
    </row>
    <row r="273" spans="27:52" x14ac:dyDescent="0.25">
      <c r="AA273" s="1"/>
      <c r="AB273" s="1"/>
      <c r="AC273" s="31"/>
      <c r="AD273" s="32"/>
      <c r="AE273" s="33">
        <f t="shared" si="24"/>
        <v>19</v>
      </c>
      <c r="AF273" s="41">
        <f t="shared" si="25"/>
        <v>-6</v>
      </c>
      <c r="AG273" s="42">
        <f t="shared" si="26"/>
        <v>0</v>
      </c>
      <c r="AH273" s="42">
        <f t="shared" si="27"/>
        <v>-6</v>
      </c>
      <c r="AI273" s="43">
        <f t="shared" si="28"/>
        <v>0.01</v>
      </c>
      <c r="AJ273" s="2"/>
      <c r="AK273" s="2"/>
      <c r="AL273" s="3"/>
      <c r="AM273" s="1"/>
      <c r="AN273" s="3"/>
      <c r="AO273" s="2"/>
      <c r="AP273" s="4"/>
      <c r="AQ273" s="2"/>
      <c r="AR273" s="5"/>
      <c r="AS273" s="1"/>
      <c r="AT273" s="1"/>
      <c r="AU273" s="1"/>
      <c r="AV273" s="1"/>
      <c r="AW273" s="1"/>
      <c r="AX273" s="1"/>
      <c r="AY273" s="1"/>
      <c r="AZ273" s="1"/>
    </row>
    <row r="274" spans="27:52" x14ac:dyDescent="0.25">
      <c r="AA274" s="1"/>
      <c r="AB274" s="1"/>
      <c r="AC274" s="31"/>
      <c r="AD274" s="32"/>
      <c r="AE274" s="33">
        <f t="shared" si="24"/>
        <v>19</v>
      </c>
      <c r="AF274" s="41">
        <f t="shared" si="25"/>
        <v>-6</v>
      </c>
      <c r="AG274" s="42">
        <f t="shared" si="26"/>
        <v>0</v>
      </c>
      <c r="AH274" s="42">
        <f t="shared" si="27"/>
        <v>-6</v>
      </c>
      <c r="AI274" s="43">
        <f t="shared" si="28"/>
        <v>0.01</v>
      </c>
      <c r="AJ274" s="2"/>
      <c r="AK274" s="2"/>
      <c r="AL274" s="3"/>
      <c r="AM274" s="1"/>
      <c r="AN274" s="3"/>
      <c r="AO274" s="2"/>
      <c r="AP274" s="4"/>
      <c r="AQ274" s="2"/>
      <c r="AR274" s="5"/>
      <c r="AS274" s="1"/>
      <c r="AT274" s="1"/>
      <c r="AU274" s="1"/>
      <c r="AV274" s="1"/>
      <c r="AW274" s="1"/>
      <c r="AX274" s="1"/>
      <c r="AY274" s="1"/>
      <c r="AZ274" s="1"/>
    </row>
    <row r="275" spans="27:52" x14ac:dyDescent="0.25">
      <c r="AA275" s="1"/>
      <c r="AB275" s="1"/>
      <c r="AC275" s="31"/>
      <c r="AD275" s="32"/>
      <c r="AE275" s="33">
        <f t="shared" si="24"/>
        <v>19</v>
      </c>
      <c r="AF275" s="41">
        <f t="shared" si="25"/>
        <v>-6</v>
      </c>
      <c r="AG275" s="42">
        <f t="shared" si="26"/>
        <v>0</v>
      </c>
      <c r="AH275" s="42">
        <f t="shared" si="27"/>
        <v>-6</v>
      </c>
      <c r="AI275" s="43">
        <f t="shared" si="28"/>
        <v>0.01</v>
      </c>
      <c r="AJ275" s="2"/>
      <c r="AK275" s="2"/>
      <c r="AL275" s="3"/>
      <c r="AM275" s="1"/>
      <c r="AN275" s="3"/>
      <c r="AO275" s="2"/>
      <c r="AP275" s="4"/>
      <c r="AQ275" s="2"/>
      <c r="AR275" s="5"/>
      <c r="AS275" s="1"/>
      <c r="AT275" s="1"/>
      <c r="AU275" s="1"/>
      <c r="AV275" s="1"/>
      <c r="AW275" s="1"/>
      <c r="AX275" s="1"/>
      <c r="AY275" s="1"/>
      <c r="AZ275" s="1"/>
    </row>
    <row r="276" spans="27:52" x14ac:dyDescent="0.25">
      <c r="AA276" s="1"/>
      <c r="AB276" s="1"/>
      <c r="AC276" s="31"/>
      <c r="AD276" s="32"/>
      <c r="AE276" s="33">
        <f t="shared" si="24"/>
        <v>19</v>
      </c>
      <c r="AF276" s="41">
        <f t="shared" si="25"/>
        <v>-6</v>
      </c>
      <c r="AG276" s="42">
        <f t="shared" si="26"/>
        <v>0</v>
      </c>
      <c r="AH276" s="42">
        <f t="shared" si="27"/>
        <v>-6</v>
      </c>
      <c r="AI276" s="43">
        <f t="shared" si="28"/>
        <v>0.01</v>
      </c>
      <c r="AJ276" s="2"/>
      <c r="AK276" s="2"/>
      <c r="AL276" s="3"/>
      <c r="AM276" s="1"/>
      <c r="AN276" s="3"/>
      <c r="AO276" s="2"/>
      <c r="AP276" s="4"/>
      <c r="AQ276" s="2"/>
      <c r="AR276" s="5"/>
      <c r="AS276" s="1"/>
      <c r="AT276" s="1"/>
      <c r="AU276" s="1"/>
      <c r="AV276" s="1"/>
      <c r="AW276" s="1"/>
      <c r="AX276" s="1"/>
      <c r="AY276" s="1"/>
      <c r="AZ276" s="1"/>
    </row>
    <row r="277" spans="27:52" x14ac:dyDescent="0.25">
      <c r="AA277" s="1"/>
      <c r="AB277" s="1"/>
      <c r="AC277" s="31"/>
      <c r="AD277" s="32"/>
      <c r="AE277" s="33">
        <f t="shared" si="24"/>
        <v>19</v>
      </c>
      <c r="AF277" s="41">
        <f t="shared" si="25"/>
        <v>-6</v>
      </c>
      <c r="AG277" s="42">
        <f t="shared" si="26"/>
        <v>0</v>
      </c>
      <c r="AH277" s="42">
        <f t="shared" si="27"/>
        <v>-6</v>
      </c>
      <c r="AI277" s="43">
        <f t="shared" si="28"/>
        <v>0.01</v>
      </c>
      <c r="AJ277" s="2"/>
      <c r="AK277" s="2"/>
      <c r="AL277" s="3"/>
      <c r="AM277" s="1"/>
      <c r="AN277" s="3"/>
      <c r="AO277" s="2"/>
      <c r="AP277" s="4"/>
      <c r="AQ277" s="2"/>
      <c r="AR277" s="5"/>
      <c r="AS277" s="1"/>
      <c r="AT277" s="1"/>
      <c r="AU277" s="1"/>
      <c r="AV277" s="1"/>
      <c r="AW277" s="1"/>
      <c r="AX277" s="1"/>
      <c r="AY277" s="1"/>
      <c r="AZ277" s="1"/>
    </row>
    <row r="278" spans="27:52" x14ac:dyDescent="0.25">
      <c r="AA278" s="1"/>
      <c r="AB278" s="1"/>
      <c r="AC278" s="31"/>
      <c r="AD278" s="32"/>
      <c r="AE278" s="33">
        <f t="shared" si="24"/>
        <v>19</v>
      </c>
      <c r="AF278" s="41">
        <f t="shared" si="25"/>
        <v>-6</v>
      </c>
      <c r="AG278" s="42">
        <f t="shared" si="26"/>
        <v>0</v>
      </c>
      <c r="AH278" s="42">
        <f t="shared" si="27"/>
        <v>-6</v>
      </c>
      <c r="AI278" s="43">
        <f t="shared" si="28"/>
        <v>0.01</v>
      </c>
      <c r="AJ278" s="2"/>
      <c r="AK278" s="2"/>
      <c r="AL278" s="3"/>
      <c r="AM278" s="1"/>
      <c r="AN278" s="3"/>
      <c r="AO278" s="2"/>
      <c r="AP278" s="4"/>
      <c r="AQ278" s="2"/>
      <c r="AR278" s="5"/>
      <c r="AS278" s="1"/>
      <c r="AT278" s="1"/>
      <c r="AU278" s="1"/>
      <c r="AV278" s="1"/>
      <c r="AW278" s="1"/>
      <c r="AX278" s="1"/>
      <c r="AY278" s="1"/>
      <c r="AZ278" s="1"/>
    </row>
    <row r="279" spans="27:52" x14ac:dyDescent="0.25">
      <c r="AA279" s="1"/>
      <c r="AB279" s="1"/>
      <c r="AC279" s="31"/>
      <c r="AD279" s="32"/>
      <c r="AE279" s="33">
        <f t="shared" si="24"/>
        <v>19</v>
      </c>
      <c r="AF279" s="41">
        <f t="shared" si="25"/>
        <v>-6</v>
      </c>
      <c r="AG279" s="42">
        <f t="shared" si="26"/>
        <v>0</v>
      </c>
      <c r="AH279" s="42">
        <f t="shared" si="27"/>
        <v>-6</v>
      </c>
      <c r="AI279" s="43">
        <f t="shared" si="28"/>
        <v>0.01</v>
      </c>
      <c r="AJ279" s="2"/>
      <c r="AK279" s="2"/>
      <c r="AL279" s="3"/>
      <c r="AM279" s="1"/>
      <c r="AN279" s="3"/>
      <c r="AO279" s="2"/>
      <c r="AP279" s="4"/>
      <c r="AQ279" s="2"/>
      <c r="AR279" s="5"/>
      <c r="AS279" s="1"/>
      <c r="AT279" s="1"/>
      <c r="AU279" s="1"/>
      <c r="AV279" s="1"/>
      <c r="AW279" s="1"/>
      <c r="AX279" s="1"/>
      <c r="AY279" s="1"/>
      <c r="AZ279" s="1"/>
    </row>
    <row r="280" spans="27:52" x14ac:dyDescent="0.25">
      <c r="AA280" s="1"/>
      <c r="AB280" s="1"/>
      <c r="AC280" s="31"/>
      <c r="AD280" s="32"/>
      <c r="AE280" s="33">
        <f t="shared" si="24"/>
        <v>19</v>
      </c>
      <c r="AF280" s="41">
        <f t="shared" si="25"/>
        <v>-6</v>
      </c>
      <c r="AG280" s="42">
        <f t="shared" si="26"/>
        <v>0</v>
      </c>
      <c r="AH280" s="42">
        <f t="shared" si="27"/>
        <v>-6</v>
      </c>
      <c r="AI280" s="43">
        <f t="shared" si="28"/>
        <v>0.01</v>
      </c>
      <c r="AJ280" s="2"/>
      <c r="AK280" s="2"/>
      <c r="AL280" s="3"/>
      <c r="AM280" s="1"/>
      <c r="AN280" s="3"/>
      <c r="AO280" s="2"/>
      <c r="AP280" s="4"/>
      <c r="AQ280" s="2"/>
      <c r="AR280" s="5"/>
      <c r="AS280" s="1"/>
      <c r="AT280" s="1"/>
      <c r="AU280" s="1"/>
      <c r="AV280" s="1"/>
      <c r="AW280" s="1"/>
      <c r="AX280" s="1"/>
      <c r="AY280" s="1"/>
      <c r="AZ280" s="1"/>
    </row>
    <row r="281" spans="27:52" x14ac:dyDescent="0.25">
      <c r="AA281" s="1"/>
      <c r="AB281" s="1"/>
      <c r="AC281" s="31"/>
      <c r="AD281" s="32"/>
      <c r="AE281" s="33">
        <f t="shared" si="24"/>
        <v>19</v>
      </c>
      <c r="AF281" s="41">
        <f t="shared" si="25"/>
        <v>-6</v>
      </c>
      <c r="AG281" s="42">
        <f t="shared" si="26"/>
        <v>0</v>
      </c>
      <c r="AH281" s="42">
        <f t="shared" si="27"/>
        <v>-6</v>
      </c>
      <c r="AI281" s="43">
        <f t="shared" si="28"/>
        <v>0.01</v>
      </c>
      <c r="AJ281" s="2"/>
      <c r="AK281" s="2"/>
      <c r="AL281" s="3"/>
      <c r="AM281" s="1"/>
      <c r="AN281" s="3"/>
      <c r="AO281" s="2"/>
      <c r="AP281" s="4"/>
      <c r="AQ281" s="2"/>
      <c r="AR281" s="5"/>
      <c r="AS281" s="1"/>
      <c r="AT281" s="1"/>
      <c r="AU281" s="1"/>
      <c r="AV281" s="1"/>
      <c r="AW281" s="1"/>
      <c r="AX281" s="1"/>
      <c r="AY281" s="1"/>
      <c r="AZ281" s="1"/>
    </row>
    <row r="282" spans="27:52" x14ac:dyDescent="0.25">
      <c r="AA282" s="1"/>
      <c r="AB282" s="1"/>
      <c r="AC282" s="31"/>
      <c r="AD282" s="32"/>
      <c r="AE282" s="33">
        <f t="shared" si="24"/>
        <v>19</v>
      </c>
      <c r="AF282" s="41">
        <f t="shared" si="25"/>
        <v>-6</v>
      </c>
      <c r="AG282" s="42">
        <f t="shared" si="26"/>
        <v>0</v>
      </c>
      <c r="AH282" s="42">
        <f t="shared" si="27"/>
        <v>-6</v>
      </c>
      <c r="AI282" s="43">
        <f t="shared" si="28"/>
        <v>0.01</v>
      </c>
      <c r="AJ282" s="2"/>
      <c r="AK282" s="2"/>
      <c r="AL282" s="3"/>
      <c r="AM282" s="1"/>
      <c r="AN282" s="3"/>
      <c r="AO282" s="2"/>
      <c r="AP282" s="4"/>
      <c r="AQ282" s="2"/>
      <c r="AR282" s="5"/>
      <c r="AS282" s="1"/>
      <c r="AT282" s="1"/>
      <c r="AU282" s="1"/>
      <c r="AV282" s="1"/>
      <c r="AW282" s="1"/>
      <c r="AX282" s="1"/>
      <c r="AY282" s="1"/>
      <c r="AZ282" s="1"/>
    </row>
    <row r="283" spans="27:52" x14ac:dyDescent="0.25">
      <c r="AA283" s="1"/>
      <c r="AB283" s="1"/>
      <c r="AC283" s="31"/>
      <c r="AD283" s="32"/>
      <c r="AE283" s="33">
        <f t="shared" si="24"/>
        <v>19</v>
      </c>
      <c r="AF283" s="41">
        <f t="shared" si="25"/>
        <v>-6</v>
      </c>
      <c r="AG283" s="42">
        <f t="shared" si="26"/>
        <v>0</v>
      </c>
      <c r="AH283" s="42">
        <f t="shared" si="27"/>
        <v>-6</v>
      </c>
      <c r="AI283" s="43">
        <f t="shared" si="28"/>
        <v>0.01</v>
      </c>
      <c r="AJ283" s="2"/>
      <c r="AK283" s="2"/>
      <c r="AL283" s="3"/>
      <c r="AM283" s="1"/>
      <c r="AN283" s="3"/>
      <c r="AO283" s="2"/>
      <c r="AP283" s="4"/>
      <c r="AQ283" s="2"/>
      <c r="AR283" s="5"/>
      <c r="AS283" s="1"/>
      <c r="AT283" s="1"/>
      <c r="AU283" s="1"/>
      <c r="AV283" s="1"/>
      <c r="AW283" s="1"/>
      <c r="AX283" s="1"/>
      <c r="AY283" s="1"/>
      <c r="AZ283" s="1"/>
    </row>
    <row r="284" spans="27:52" x14ac:dyDescent="0.25">
      <c r="AA284" s="1"/>
      <c r="AB284" s="1"/>
      <c r="AC284" s="31"/>
      <c r="AD284" s="32"/>
      <c r="AE284" s="33">
        <f t="shared" si="24"/>
        <v>19</v>
      </c>
      <c r="AF284" s="41">
        <f t="shared" si="25"/>
        <v>-6</v>
      </c>
      <c r="AG284" s="42">
        <f t="shared" si="26"/>
        <v>0</v>
      </c>
      <c r="AH284" s="42">
        <f t="shared" si="27"/>
        <v>-6</v>
      </c>
      <c r="AI284" s="43">
        <f t="shared" si="28"/>
        <v>0.01</v>
      </c>
      <c r="AJ284" s="2"/>
      <c r="AK284" s="2"/>
      <c r="AL284" s="3"/>
      <c r="AM284" s="1"/>
      <c r="AN284" s="3"/>
      <c r="AO284" s="2"/>
      <c r="AP284" s="4"/>
      <c r="AQ284" s="2"/>
      <c r="AR284" s="5"/>
      <c r="AS284" s="1"/>
      <c r="AT284" s="1"/>
      <c r="AU284" s="1"/>
      <c r="AV284" s="1"/>
      <c r="AW284" s="1"/>
      <c r="AX284" s="1"/>
      <c r="AY284" s="1"/>
      <c r="AZ284" s="1"/>
    </row>
    <row r="285" spans="27:52" x14ac:dyDescent="0.25">
      <c r="AA285" s="1"/>
      <c r="AB285" s="1"/>
      <c r="AC285" s="31"/>
      <c r="AD285" s="32"/>
      <c r="AE285" s="33">
        <f t="shared" si="24"/>
        <v>19</v>
      </c>
      <c r="AF285" s="41">
        <f t="shared" si="25"/>
        <v>-6</v>
      </c>
      <c r="AG285" s="42">
        <f t="shared" si="26"/>
        <v>0</v>
      </c>
      <c r="AH285" s="42">
        <f t="shared" si="27"/>
        <v>-6</v>
      </c>
      <c r="AI285" s="43">
        <f t="shared" si="28"/>
        <v>0.01</v>
      </c>
      <c r="AJ285" s="2"/>
      <c r="AK285" s="2"/>
      <c r="AL285" s="3"/>
      <c r="AM285" s="1"/>
      <c r="AN285" s="3"/>
      <c r="AO285" s="2"/>
      <c r="AP285" s="4"/>
      <c r="AQ285" s="2"/>
      <c r="AR285" s="5"/>
      <c r="AS285" s="1"/>
      <c r="AT285" s="1"/>
      <c r="AU285" s="1"/>
      <c r="AV285" s="1"/>
      <c r="AW285" s="1"/>
      <c r="AX285" s="1"/>
      <c r="AY285" s="1"/>
      <c r="AZ285" s="1"/>
    </row>
    <row r="286" spans="27:52" x14ac:dyDescent="0.25">
      <c r="AA286" s="1"/>
      <c r="AB286" s="1"/>
      <c r="AC286" s="31"/>
      <c r="AD286" s="32"/>
      <c r="AE286" s="33">
        <f t="shared" si="24"/>
        <v>19</v>
      </c>
      <c r="AF286" s="41">
        <f t="shared" si="25"/>
        <v>-6</v>
      </c>
      <c r="AG286" s="42">
        <f t="shared" si="26"/>
        <v>0</v>
      </c>
      <c r="AH286" s="42">
        <f t="shared" si="27"/>
        <v>-6</v>
      </c>
      <c r="AI286" s="43">
        <f t="shared" si="28"/>
        <v>0.01</v>
      </c>
      <c r="AJ286" s="2"/>
      <c r="AK286" s="2"/>
      <c r="AL286" s="3"/>
      <c r="AM286" s="1"/>
      <c r="AN286" s="3"/>
      <c r="AO286" s="2"/>
      <c r="AP286" s="4"/>
      <c r="AQ286" s="2"/>
      <c r="AR286" s="5"/>
      <c r="AS286" s="1"/>
      <c r="AT286" s="1"/>
      <c r="AU286" s="1"/>
      <c r="AV286" s="1"/>
      <c r="AW286" s="1"/>
      <c r="AX286" s="1"/>
      <c r="AY286" s="1"/>
      <c r="AZ286" s="1"/>
    </row>
    <row r="287" spans="27:52" x14ac:dyDescent="0.25">
      <c r="AA287" s="1"/>
      <c r="AB287" s="1"/>
      <c r="AC287" s="31"/>
      <c r="AD287" s="32"/>
      <c r="AE287" s="33">
        <f t="shared" si="24"/>
        <v>19</v>
      </c>
      <c r="AF287" s="41">
        <f t="shared" si="25"/>
        <v>-6</v>
      </c>
      <c r="AG287" s="42">
        <f t="shared" si="26"/>
        <v>0</v>
      </c>
      <c r="AH287" s="42">
        <f t="shared" si="27"/>
        <v>-6</v>
      </c>
      <c r="AI287" s="43">
        <f t="shared" si="28"/>
        <v>0.01</v>
      </c>
      <c r="AJ287" s="2"/>
      <c r="AK287" s="2"/>
      <c r="AL287" s="3"/>
      <c r="AM287" s="1"/>
      <c r="AN287" s="3"/>
      <c r="AO287" s="2"/>
      <c r="AP287" s="4"/>
      <c r="AQ287" s="2"/>
      <c r="AR287" s="5"/>
      <c r="AS287" s="1"/>
      <c r="AT287" s="1"/>
      <c r="AU287" s="1"/>
      <c r="AV287" s="1"/>
      <c r="AW287" s="1"/>
      <c r="AX287" s="1"/>
      <c r="AY287" s="1"/>
      <c r="AZ287" s="1"/>
    </row>
    <row r="288" spans="27:52" x14ac:dyDescent="0.25">
      <c r="AA288" s="1"/>
      <c r="AB288" s="1"/>
      <c r="AC288" s="31"/>
      <c r="AD288" s="32"/>
      <c r="AE288" s="33">
        <f t="shared" si="24"/>
        <v>19</v>
      </c>
      <c r="AF288" s="41">
        <f t="shared" si="25"/>
        <v>-6</v>
      </c>
      <c r="AG288" s="42">
        <f t="shared" si="26"/>
        <v>0</v>
      </c>
      <c r="AH288" s="42">
        <f t="shared" si="27"/>
        <v>-6</v>
      </c>
      <c r="AI288" s="43">
        <f t="shared" si="28"/>
        <v>0.01</v>
      </c>
      <c r="AJ288" s="2"/>
      <c r="AK288" s="2"/>
      <c r="AL288" s="3"/>
      <c r="AM288" s="1"/>
      <c r="AN288" s="3"/>
      <c r="AO288" s="2"/>
      <c r="AP288" s="4"/>
      <c r="AQ288" s="2"/>
      <c r="AR288" s="5"/>
      <c r="AS288" s="1"/>
      <c r="AT288" s="1"/>
      <c r="AU288" s="1"/>
      <c r="AV288" s="1"/>
      <c r="AW288" s="1"/>
      <c r="AX288" s="1"/>
      <c r="AY288" s="1"/>
      <c r="AZ288" s="1"/>
    </row>
    <row r="289" spans="27:52" x14ac:dyDescent="0.25">
      <c r="AA289" s="1"/>
      <c r="AB289" s="1"/>
      <c r="AC289" s="31"/>
      <c r="AD289" s="32"/>
      <c r="AE289" s="33">
        <f t="shared" si="24"/>
        <v>19</v>
      </c>
      <c r="AF289" s="41">
        <f t="shared" si="25"/>
        <v>-6</v>
      </c>
      <c r="AG289" s="42">
        <f t="shared" si="26"/>
        <v>0</v>
      </c>
      <c r="AH289" s="42">
        <f t="shared" si="27"/>
        <v>-6</v>
      </c>
      <c r="AI289" s="43">
        <f t="shared" si="28"/>
        <v>0.01</v>
      </c>
      <c r="AJ289" s="2"/>
      <c r="AK289" s="2"/>
      <c r="AL289" s="3"/>
      <c r="AM289" s="1"/>
      <c r="AN289" s="3"/>
      <c r="AO289" s="2"/>
      <c r="AP289" s="4"/>
      <c r="AQ289" s="2"/>
      <c r="AR289" s="5"/>
      <c r="AS289" s="1"/>
      <c r="AT289" s="1"/>
      <c r="AU289" s="1"/>
      <c r="AV289" s="1"/>
      <c r="AW289" s="1"/>
      <c r="AX289" s="1"/>
      <c r="AY289" s="1"/>
      <c r="AZ289" s="1"/>
    </row>
    <row r="290" spans="27:52" x14ac:dyDescent="0.25">
      <c r="AA290" s="1"/>
      <c r="AB290" s="1"/>
      <c r="AC290" s="31"/>
      <c r="AD290" s="32"/>
      <c r="AE290" s="33">
        <f t="shared" si="24"/>
        <v>19</v>
      </c>
      <c r="AF290" s="41">
        <f t="shared" si="25"/>
        <v>-6</v>
      </c>
      <c r="AG290" s="42">
        <f t="shared" si="26"/>
        <v>0</v>
      </c>
      <c r="AH290" s="42">
        <f t="shared" si="27"/>
        <v>-6</v>
      </c>
      <c r="AI290" s="43">
        <f t="shared" si="28"/>
        <v>0.01</v>
      </c>
      <c r="AJ290" s="2"/>
      <c r="AK290" s="2"/>
      <c r="AL290" s="3"/>
      <c r="AM290" s="1"/>
      <c r="AN290" s="3"/>
      <c r="AO290" s="2"/>
      <c r="AP290" s="4"/>
      <c r="AQ290" s="2"/>
      <c r="AR290" s="5"/>
      <c r="AS290" s="1"/>
      <c r="AT290" s="1"/>
      <c r="AU290" s="1"/>
      <c r="AV290" s="1"/>
      <c r="AW290" s="1"/>
      <c r="AX290" s="1"/>
      <c r="AY290" s="1"/>
      <c r="AZ290" s="1"/>
    </row>
    <row r="291" spans="27:52" x14ac:dyDescent="0.25">
      <c r="AA291" s="1"/>
      <c r="AB291" s="1"/>
      <c r="AC291" s="31"/>
      <c r="AD291" s="32"/>
      <c r="AE291" s="33">
        <f t="shared" si="24"/>
        <v>19</v>
      </c>
      <c r="AF291" s="41">
        <f t="shared" si="25"/>
        <v>-6</v>
      </c>
      <c r="AG291" s="42">
        <f t="shared" si="26"/>
        <v>0</v>
      </c>
      <c r="AH291" s="42">
        <f t="shared" si="27"/>
        <v>-6</v>
      </c>
      <c r="AI291" s="43">
        <f t="shared" si="28"/>
        <v>0.01</v>
      </c>
      <c r="AJ291" s="2"/>
      <c r="AK291" s="2"/>
      <c r="AL291" s="3"/>
      <c r="AM291" s="1"/>
      <c r="AN291" s="3"/>
      <c r="AO291" s="2"/>
      <c r="AP291" s="4"/>
      <c r="AQ291" s="2"/>
      <c r="AR291" s="5"/>
      <c r="AS291" s="1"/>
      <c r="AT291" s="1"/>
      <c r="AU291" s="1"/>
      <c r="AV291" s="1"/>
      <c r="AW291" s="1"/>
      <c r="AX291" s="1"/>
      <c r="AY291" s="1"/>
      <c r="AZ291" s="1"/>
    </row>
    <row r="292" spans="27:52" x14ac:dyDescent="0.25">
      <c r="AA292" s="1"/>
      <c r="AB292" s="1"/>
      <c r="AC292" s="31"/>
      <c r="AD292" s="32"/>
      <c r="AE292" s="33">
        <f t="shared" si="24"/>
        <v>19</v>
      </c>
      <c r="AF292" s="41">
        <f t="shared" si="25"/>
        <v>-6</v>
      </c>
      <c r="AG292" s="42">
        <f t="shared" si="26"/>
        <v>0</v>
      </c>
      <c r="AH292" s="42">
        <f t="shared" si="27"/>
        <v>-6</v>
      </c>
      <c r="AI292" s="43">
        <f t="shared" si="28"/>
        <v>0.01</v>
      </c>
      <c r="AJ292" s="2"/>
      <c r="AK292" s="2"/>
      <c r="AL292" s="3"/>
      <c r="AM292" s="1"/>
      <c r="AN292" s="3"/>
      <c r="AO292" s="2"/>
      <c r="AP292" s="4"/>
      <c r="AQ292" s="2"/>
      <c r="AR292" s="5"/>
      <c r="AS292" s="1"/>
      <c r="AT292" s="1"/>
      <c r="AU292" s="1"/>
      <c r="AV292" s="1"/>
      <c r="AW292" s="1"/>
      <c r="AX292" s="1"/>
      <c r="AY292" s="1"/>
      <c r="AZ292" s="1"/>
    </row>
    <row r="293" spans="27:52" x14ac:dyDescent="0.25">
      <c r="AA293" s="1"/>
      <c r="AB293" s="1"/>
      <c r="AC293" s="31"/>
      <c r="AD293" s="32"/>
      <c r="AE293" s="33">
        <f t="shared" si="24"/>
        <v>19</v>
      </c>
      <c r="AF293" s="41">
        <f t="shared" si="25"/>
        <v>-6</v>
      </c>
      <c r="AG293" s="42">
        <f t="shared" si="26"/>
        <v>0</v>
      </c>
      <c r="AH293" s="42">
        <f t="shared" si="27"/>
        <v>-6</v>
      </c>
      <c r="AI293" s="43">
        <f t="shared" si="28"/>
        <v>0.01</v>
      </c>
      <c r="AJ293" s="2"/>
      <c r="AK293" s="2"/>
      <c r="AL293" s="3"/>
      <c r="AM293" s="1"/>
      <c r="AN293" s="3"/>
      <c r="AO293" s="2"/>
      <c r="AP293" s="4"/>
      <c r="AQ293" s="2"/>
      <c r="AR293" s="5"/>
      <c r="AS293" s="1"/>
      <c r="AT293" s="1"/>
      <c r="AU293" s="1"/>
      <c r="AV293" s="1"/>
      <c r="AW293" s="1"/>
      <c r="AX293" s="1"/>
      <c r="AY293" s="1"/>
      <c r="AZ293" s="1"/>
    </row>
    <row r="294" spans="27:52" x14ac:dyDescent="0.25">
      <c r="AA294" s="1"/>
      <c r="AB294" s="1"/>
      <c r="AC294" s="31"/>
      <c r="AD294" s="32"/>
      <c r="AE294" s="33">
        <f t="shared" si="24"/>
        <v>19</v>
      </c>
      <c r="AF294" s="41">
        <f t="shared" si="25"/>
        <v>-6</v>
      </c>
      <c r="AG294" s="42">
        <f t="shared" si="26"/>
        <v>0</v>
      </c>
      <c r="AH294" s="42">
        <f t="shared" si="27"/>
        <v>-6</v>
      </c>
      <c r="AI294" s="43">
        <f t="shared" si="28"/>
        <v>0.01</v>
      </c>
      <c r="AJ294" s="2"/>
      <c r="AK294" s="2"/>
      <c r="AL294" s="3"/>
      <c r="AM294" s="1"/>
      <c r="AN294" s="3"/>
      <c r="AO294" s="2"/>
      <c r="AP294" s="4"/>
      <c r="AQ294" s="2"/>
      <c r="AR294" s="5"/>
      <c r="AS294" s="1"/>
      <c r="AT294" s="1"/>
      <c r="AU294" s="1"/>
      <c r="AV294" s="1"/>
      <c r="AW294" s="1"/>
      <c r="AX294" s="1"/>
      <c r="AY294" s="1"/>
      <c r="AZ294" s="1"/>
    </row>
    <row r="295" spans="27:52" x14ac:dyDescent="0.25">
      <c r="AA295" s="1"/>
      <c r="AB295" s="1"/>
      <c r="AC295" s="31"/>
      <c r="AD295" s="32"/>
      <c r="AE295" s="33">
        <f t="shared" si="24"/>
        <v>19</v>
      </c>
      <c r="AF295" s="41">
        <f t="shared" si="25"/>
        <v>-6</v>
      </c>
      <c r="AG295" s="42">
        <f t="shared" si="26"/>
        <v>0</v>
      </c>
      <c r="AH295" s="42">
        <f t="shared" si="27"/>
        <v>-6</v>
      </c>
      <c r="AI295" s="43">
        <f t="shared" si="28"/>
        <v>0.01</v>
      </c>
      <c r="AJ295" s="2"/>
      <c r="AK295" s="2"/>
      <c r="AL295" s="3"/>
      <c r="AM295" s="1"/>
      <c r="AN295" s="3"/>
      <c r="AO295" s="2"/>
      <c r="AP295" s="4"/>
      <c r="AQ295" s="2"/>
      <c r="AR295" s="5"/>
      <c r="AS295" s="1"/>
      <c r="AT295" s="1"/>
      <c r="AU295" s="1"/>
      <c r="AV295" s="1"/>
      <c r="AW295" s="1"/>
      <c r="AX295" s="1"/>
      <c r="AY295" s="1"/>
      <c r="AZ295" s="1"/>
    </row>
    <row r="296" spans="27:52" x14ac:dyDescent="0.25">
      <c r="AA296" s="1"/>
      <c r="AB296" s="1"/>
      <c r="AC296" s="31"/>
      <c r="AD296" s="32"/>
      <c r="AE296" s="33">
        <f t="shared" si="24"/>
        <v>19</v>
      </c>
      <c r="AF296" s="41">
        <f t="shared" si="25"/>
        <v>-6</v>
      </c>
      <c r="AG296" s="42">
        <f t="shared" si="26"/>
        <v>0</v>
      </c>
      <c r="AH296" s="42">
        <f t="shared" si="27"/>
        <v>-6</v>
      </c>
      <c r="AI296" s="43">
        <f t="shared" si="28"/>
        <v>0.01</v>
      </c>
      <c r="AJ296" s="2"/>
      <c r="AK296" s="2"/>
      <c r="AL296" s="3"/>
      <c r="AM296" s="1"/>
      <c r="AN296" s="3"/>
      <c r="AO296" s="2"/>
      <c r="AP296" s="4"/>
      <c r="AQ296" s="2"/>
      <c r="AR296" s="5"/>
      <c r="AS296" s="1"/>
      <c r="AT296" s="1"/>
      <c r="AU296" s="1"/>
      <c r="AV296" s="1"/>
      <c r="AW296" s="1"/>
      <c r="AX296" s="1"/>
      <c r="AY296" s="1"/>
      <c r="AZ296" s="1"/>
    </row>
    <row r="297" spans="27:52" x14ac:dyDescent="0.25">
      <c r="AA297" s="1"/>
      <c r="AB297" s="1"/>
      <c r="AC297" s="31"/>
      <c r="AD297" s="32"/>
      <c r="AE297" s="33">
        <f t="shared" si="24"/>
        <v>19</v>
      </c>
      <c r="AF297" s="41">
        <f t="shared" si="25"/>
        <v>-6</v>
      </c>
      <c r="AG297" s="42">
        <f t="shared" si="26"/>
        <v>0</v>
      </c>
      <c r="AH297" s="42">
        <f t="shared" si="27"/>
        <v>-6</v>
      </c>
      <c r="AI297" s="43">
        <f t="shared" si="28"/>
        <v>0.01</v>
      </c>
      <c r="AJ297" s="2"/>
      <c r="AK297" s="2"/>
      <c r="AL297" s="3"/>
      <c r="AM297" s="1"/>
      <c r="AN297" s="3"/>
      <c r="AO297" s="2"/>
      <c r="AP297" s="4"/>
      <c r="AQ297" s="2"/>
      <c r="AR297" s="5"/>
      <c r="AS297" s="1"/>
      <c r="AT297" s="1"/>
      <c r="AU297" s="1"/>
      <c r="AV297" s="1"/>
      <c r="AW297" s="1"/>
      <c r="AX297" s="1"/>
      <c r="AY297" s="1"/>
      <c r="AZ297" s="1"/>
    </row>
    <row r="298" spans="27:52" x14ac:dyDescent="0.25">
      <c r="AA298" s="1"/>
      <c r="AB298" s="1"/>
      <c r="AC298" s="31"/>
      <c r="AD298" s="32"/>
      <c r="AE298" s="33">
        <f t="shared" si="24"/>
        <v>19</v>
      </c>
      <c r="AF298" s="41">
        <f t="shared" si="25"/>
        <v>-6</v>
      </c>
      <c r="AG298" s="42">
        <f t="shared" si="26"/>
        <v>0</v>
      </c>
      <c r="AH298" s="42">
        <f t="shared" si="27"/>
        <v>-6</v>
      </c>
      <c r="AI298" s="43">
        <f t="shared" si="28"/>
        <v>0.01</v>
      </c>
      <c r="AJ298" s="2"/>
      <c r="AK298" s="2"/>
      <c r="AL298" s="3"/>
      <c r="AM298" s="1"/>
      <c r="AN298" s="3"/>
      <c r="AO298" s="2"/>
      <c r="AP298" s="4"/>
      <c r="AQ298" s="2"/>
      <c r="AR298" s="5"/>
      <c r="AS298" s="1"/>
      <c r="AT298" s="1"/>
      <c r="AU298" s="1"/>
      <c r="AV298" s="1"/>
      <c r="AW298" s="1"/>
      <c r="AX298" s="1"/>
      <c r="AY298" s="1"/>
      <c r="AZ298" s="1"/>
    </row>
    <row r="299" spans="27:52" x14ac:dyDescent="0.25">
      <c r="AA299" s="1"/>
      <c r="AB299" s="1"/>
      <c r="AC299" s="31"/>
      <c r="AD299" s="32"/>
      <c r="AE299" s="33">
        <f t="shared" si="24"/>
        <v>19</v>
      </c>
      <c r="AF299" s="41">
        <f t="shared" si="25"/>
        <v>-6</v>
      </c>
      <c r="AG299" s="42">
        <f t="shared" si="26"/>
        <v>0</v>
      </c>
      <c r="AH299" s="42">
        <f t="shared" si="27"/>
        <v>-6</v>
      </c>
      <c r="AI299" s="43">
        <f t="shared" si="28"/>
        <v>0.01</v>
      </c>
      <c r="AJ299" s="2"/>
      <c r="AK299" s="2"/>
      <c r="AL299" s="3"/>
      <c r="AM299" s="1"/>
      <c r="AN299" s="3"/>
      <c r="AO299" s="2"/>
      <c r="AP299" s="4"/>
      <c r="AQ299" s="2"/>
      <c r="AR299" s="5"/>
      <c r="AS299" s="1"/>
      <c r="AT299" s="1"/>
      <c r="AU299" s="1"/>
      <c r="AV299" s="1"/>
      <c r="AW299" s="1"/>
      <c r="AX299" s="1"/>
      <c r="AY299" s="1"/>
      <c r="AZ299" s="1"/>
    </row>
    <row r="300" spans="27:52" x14ac:dyDescent="0.25">
      <c r="AA300" s="1"/>
      <c r="AB300" s="1"/>
      <c r="AC300" s="31"/>
      <c r="AD300" s="32"/>
      <c r="AE300" s="33">
        <f t="shared" si="24"/>
        <v>19</v>
      </c>
      <c r="AF300" s="41">
        <f t="shared" si="25"/>
        <v>-6</v>
      </c>
      <c r="AG300" s="42">
        <f t="shared" si="26"/>
        <v>0</v>
      </c>
      <c r="AH300" s="42">
        <f t="shared" si="27"/>
        <v>-6</v>
      </c>
      <c r="AI300" s="43">
        <f t="shared" si="28"/>
        <v>0.01</v>
      </c>
      <c r="AJ300" s="2"/>
      <c r="AK300" s="2"/>
      <c r="AL300" s="3"/>
      <c r="AM300" s="1"/>
      <c r="AN300" s="3"/>
      <c r="AO300" s="2"/>
      <c r="AP300" s="4"/>
      <c r="AQ300" s="2"/>
      <c r="AR300" s="5"/>
      <c r="AS300" s="1"/>
      <c r="AT300" s="1"/>
      <c r="AU300" s="1"/>
      <c r="AV300" s="1"/>
      <c r="AW300" s="1"/>
      <c r="AX300" s="1"/>
      <c r="AY300" s="1"/>
      <c r="AZ300" s="1"/>
    </row>
    <row r="301" spans="27:52" x14ac:dyDescent="0.25">
      <c r="AA301" s="1"/>
      <c r="AB301" s="1"/>
      <c r="AC301" s="31"/>
      <c r="AD301" s="32"/>
      <c r="AE301" s="33">
        <f t="shared" si="24"/>
        <v>19</v>
      </c>
      <c r="AF301" s="41">
        <f t="shared" si="25"/>
        <v>-6</v>
      </c>
      <c r="AG301" s="42">
        <f t="shared" si="26"/>
        <v>0</v>
      </c>
      <c r="AH301" s="42">
        <f t="shared" si="27"/>
        <v>-6</v>
      </c>
      <c r="AI301" s="43">
        <f t="shared" si="28"/>
        <v>0.01</v>
      </c>
      <c r="AJ301" s="2"/>
      <c r="AK301" s="2"/>
      <c r="AL301" s="3"/>
      <c r="AM301" s="1"/>
      <c r="AN301" s="3"/>
      <c r="AO301" s="2"/>
      <c r="AP301" s="4"/>
      <c r="AQ301" s="2"/>
      <c r="AR301" s="5"/>
      <c r="AS301" s="1"/>
      <c r="AT301" s="1"/>
      <c r="AU301" s="1"/>
      <c r="AV301" s="1"/>
      <c r="AW301" s="1"/>
      <c r="AX301" s="1"/>
      <c r="AY301" s="1"/>
      <c r="AZ301" s="1"/>
    </row>
    <row r="302" spans="27:52" x14ac:dyDescent="0.25">
      <c r="AA302" s="1"/>
      <c r="AB302" s="1"/>
      <c r="AC302" s="31"/>
      <c r="AD302" s="32"/>
      <c r="AE302" s="33">
        <f t="shared" si="24"/>
        <v>19</v>
      </c>
      <c r="AF302" s="41">
        <f t="shared" si="25"/>
        <v>-6</v>
      </c>
      <c r="AG302" s="42">
        <f t="shared" si="26"/>
        <v>0</v>
      </c>
      <c r="AH302" s="42">
        <f t="shared" si="27"/>
        <v>-6</v>
      </c>
      <c r="AI302" s="43">
        <f t="shared" si="28"/>
        <v>0.01</v>
      </c>
      <c r="AJ302" s="2"/>
      <c r="AK302" s="2"/>
      <c r="AL302" s="3"/>
      <c r="AM302" s="1"/>
      <c r="AN302" s="3"/>
      <c r="AO302" s="2"/>
      <c r="AP302" s="4"/>
      <c r="AQ302" s="2"/>
      <c r="AR302" s="5"/>
      <c r="AS302" s="1"/>
      <c r="AT302" s="1"/>
      <c r="AU302" s="1"/>
      <c r="AV302" s="1"/>
      <c r="AW302" s="1"/>
      <c r="AX302" s="1"/>
      <c r="AY302" s="1"/>
      <c r="AZ302" s="1"/>
    </row>
    <row r="303" spans="27:52" x14ac:dyDescent="0.25">
      <c r="AA303" s="1"/>
      <c r="AB303" s="1"/>
      <c r="AC303" s="31"/>
      <c r="AD303" s="32"/>
      <c r="AE303" s="33">
        <f t="shared" si="24"/>
        <v>19</v>
      </c>
      <c r="AF303" s="41">
        <f t="shared" si="25"/>
        <v>-6</v>
      </c>
      <c r="AG303" s="42">
        <f t="shared" si="26"/>
        <v>0</v>
      </c>
      <c r="AH303" s="42">
        <f t="shared" si="27"/>
        <v>-6</v>
      </c>
      <c r="AI303" s="43">
        <f t="shared" si="28"/>
        <v>0.01</v>
      </c>
      <c r="AJ303" s="2"/>
      <c r="AK303" s="2"/>
      <c r="AL303" s="3"/>
      <c r="AM303" s="1"/>
      <c r="AN303" s="3"/>
      <c r="AO303" s="2"/>
      <c r="AP303" s="4"/>
      <c r="AQ303" s="2"/>
      <c r="AR303" s="5"/>
      <c r="AS303" s="1"/>
      <c r="AT303" s="1"/>
      <c r="AU303" s="1"/>
      <c r="AV303" s="1"/>
      <c r="AW303" s="1"/>
      <c r="AX303" s="1"/>
      <c r="AY303" s="1"/>
      <c r="AZ303" s="1"/>
    </row>
    <row r="304" spans="27:52" x14ac:dyDescent="0.25">
      <c r="AA304" s="1"/>
      <c r="AB304" s="1"/>
      <c r="AC304" s="31"/>
      <c r="AD304" s="32"/>
      <c r="AE304" s="33">
        <f t="shared" si="24"/>
        <v>19</v>
      </c>
      <c r="AF304" s="41">
        <f t="shared" si="25"/>
        <v>-6</v>
      </c>
      <c r="AG304" s="42">
        <f t="shared" si="26"/>
        <v>0</v>
      </c>
      <c r="AH304" s="42">
        <f t="shared" si="27"/>
        <v>-6</v>
      </c>
      <c r="AI304" s="43">
        <f t="shared" si="28"/>
        <v>0.01</v>
      </c>
      <c r="AJ304" s="2"/>
      <c r="AK304" s="2"/>
      <c r="AL304" s="3"/>
      <c r="AM304" s="1"/>
      <c r="AN304" s="3"/>
      <c r="AO304" s="2"/>
      <c r="AP304" s="4"/>
      <c r="AQ304" s="2"/>
      <c r="AR304" s="5"/>
      <c r="AS304" s="1"/>
      <c r="AT304" s="1"/>
      <c r="AU304" s="1"/>
      <c r="AV304" s="1"/>
      <c r="AW304" s="1"/>
      <c r="AX304" s="1"/>
      <c r="AY304" s="1"/>
      <c r="AZ304" s="1"/>
    </row>
    <row r="305" spans="27:52" x14ac:dyDescent="0.25">
      <c r="AA305" s="1"/>
      <c r="AB305" s="1"/>
      <c r="AC305" s="31"/>
      <c r="AD305" s="32"/>
      <c r="AE305" s="33">
        <f t="shared" si="24"/>
        <v>19</v>
      </c>
      <c r="AF305" s="41">
        <f t="shared" si="25"/>
        <v>-6</v>
      </c>
      <c r="AG305" s="42">
        <f t="shared" si="26"/>
        <v>0</v>
      </c>
      <c r="AH305" s="42">
        <f t="shared" si="27"/>
        <v>-6</v>
      </c>
      <c r="AI305" s="43">
        <f t="shared" si="28"/>
        <v>0.01</v>
      </c>
      <c r="AJ305" s="2"/>
      <c r="AK305" s="2"/>
      <c r="AL305" s="3"/>
      <c r="AM305" s="1"/>
      <c r="AN305" s="3"/>
      <c r="AO305" s="2"/>
      <c r="AP305" s="4"/>
      <c r="AQ305" s="2"/>
      <c r="AR305" s="5"/>
      <c r="AS305" s="1"/>
      <c r="AT305" s="1"/>
      <c r="AU305" s="1"/>
      <c r="AV305" s="1"/>
      <c r="AW305" s="1"/>
      <c r="AX305" s="1"/>
      <c r="AY305" s="1"/>
      <c r="AZ305" s="1"/>
    </row>
    <row r="306" spans="27:52" x14ac:dyDescent="0.25">
      <c r="AA306" s="1"/>
      <c r="AB306" s="1"/>
      <c r="AC306" s="31"/>
      <c r="AD306" s="32"/>
      <c r="AE306" s="33">
        <f t="shared" si="24"/>
        <v>19</v>
      </c>
      <c r="AF306" s="41">
        <f t="shared" si="25"/>
        <v>-6</v>
      </c>
      <c r="AG306" s="42">
        <f t="shared" si="26"/>
        <v>0</v>
      </c>
      <c r="AH306" s="42">
        <f t="shared" si="27"/>
        <v>-6</v>
      </c>
      <c r="AI306" s="43">
        <f t="shared" si="28"/>
        <v>0.01</v>
      </c>
      <c r="AJ306" s="2"/>
      <c r="AK306" s="2"/>
      <c r="AL306" s="3"/>
      <c r="AM306" s="1"/>
      <c r="AN306" s="3"/>
      <c r="AO306" s="2"/>
      <c r="AP306" s="4"/>
      <c r="AQ306" s="2"/>
      <c r="AR306" s="5"/>
      <c r="AS306" s="1"/>
      <c r="AT306" s="1"/>
      <c r="AU306" s="1"/>
      <c r="AV306" s="1"/>
      <c r="AW306" s="1"/>
      <c r="AX306" s="1"/>
      <c r="AY306" s="1"/>
      <c r="AZ306" s="1"/>
    </row>
    <row r="307" spans="27:52" x14ac:dyDescent="0.25">
      <c r="AA307" s="1"/>
      <c r="AB307" s="1"/>
      <c r="AC307" s="31"/>
      <c r="AD307" s="32"/>
      <c r="AE307" s="33">
        <f t="shared" si="24"/>
        <v>19</v>
      </c>
      <c r="AF307" s="41">
        <f t="shared" si="25"/>
        <v>-6</v>
      </c>
      <c r="AG307" s="42">
        <f t="shared" si="26"/>
        <v>0</v>
      </c>
      <c r="AH307" s="42">
        <f t="shared" si="27"/>
        <v>-6</v>
      </c>
      <c r="AI307" s="43">
        <f t="shared" si="28"/>
        <v>0.01</v>
      </c>
      <c r="AJ307" s="2"/>
      <c r="AK307" s="2"/>
      <c r="AL307" s="3"/>
      <c r="AM307" s="1"/>
      <c r="AN307" s="3"/>
      <c r="AO307" s="2"/>
      <c r="AP307" s="4"/>
      <c r="AQ307" s="2"/>
      <c r="AR307" s="5"/>
      <c r="AS307" s="1"/>
      <c r="AT307" s="1"/>
      <c r="AU307" s="1"/>
      <c r="AV307" s="1"/>
      <c r="AW307" s="1"/>
      <c r="AX307" s="1"/>
      <c r="AY307" s="1"/>
      <c r="AZ307" s="1"/>
    </row>
    <row r="308" spans="27:52" x14ac:dyDescent="0.25">
      <c r="AA308" s="1"/>
      <c r="AB308" s="1"/>
      <c r="AC308" s="31"/>
      <c r="AD308" s="32"/>
      <c r="AE308" s="33">
        <f t="shared" si="24"/>
        <v>19</v>
      </c>
      <c r="AF308" s="41">
        <f t="shared" si="25"/>
        <v>-6</v>
      </c>
      <c r="AG308" s="42">
        <f t="shared" si="26"/>
        <v>0</v>
      </c>
      <c r="AH308" s="42">
        <f t="shared" si="27"/>
        <v>-6</v>
      </c>
      <c r="AI308" s="43">
        <f t="shared" si="28"/>
        <v>0.01</v>
      </c>
      <c r="AJ308" s="2"/>
      <c r="AK308" s="2"/>
      <c r="AL308" s="3"/>
      <c r="AM308" s="1"/>
      <c r="AN308" s="3"/>
      <c r="AO308" s="2"/>
      <c r="AP308" s="4"/>
      <c r="AQ308" s="2"/>
      <c r="AR308" s="5"/>
      <c r="AS308" s="1"/>
      <c r="AT308" s="1"/>
      <c r="AU308" s="1"/>
      <c r="AV308" s="1"/>
      <c r="AW308" s="1"/>
      <c r="AX308" s="1"/>
      <c r="AY308" s="1"/>
      <c r="AZ308" s="1"/>
    </row>
    <row r="309" spans="27:52" x14ac:dyDescent="0.25">
      <c r="AA309" s="1"/>
      <c r="AB309" s="1"/>
      <c r="AC309" s="31"/>
      <c r="AD309" s="32"/>
      <c r="AE309" s="33">
        <f t="shared" si="24"/>
        <v>19</v>
      </c>
      <c r="AF309" s="41">
        <f t="shared" si="25"/>
        <v>-6</v>
      </c>
      <c r="AG309" s="42">
        <f t="shared" si="26"/>
        <v>0</v>
      </c>
      <c r="AH309" s="42">
        <f t="shared" si="27"/>
        <v>-6</v>
      </c>
      <c r="AI309" s="43">
        <f t="shared" si="28"/>
        <v>0.01</v>
      </c>
      <c r="AJ309" s="2"/>
      <c r="AK309" s="2"/>
      <c r="AL309" s="3"/>
      <c r="AM309" s="1"/>
      <c r="AN309" s="3"/>
      <c r="AO309" s="2"/>
      <c r="AP309" s="4"/>
      <c r="AQ309" s="2"/>
      <c r="AR309" s="5"/>
      <c r="AS309" s="1"/>
      <c r="AT309" s="1"/>
      <c r="AU309" s="1"/>
      <c r="AV309" s="1"/>
      <c r="AW309" s="1"/>
      <c r="AX309" s="1"/>
      <c r="AY309" s="1"/>
      <c r="AZ309" s="1"/>
    </row>
    <row r="310" spans="27:52" x14ac:dyDescent="0.25">
      <c r="AA310" s="1"/>
      <c r="AB310" s="1"/>
      <c r="AC310" s="31"/>
      <c r="AD310" s="32"/>
      <c r="AE310" s="33">
        <f t="shared" si="24"/>
        <v>19</v>
      </c>
      <c r="AF310" s="41">
        <f t="shared" si="25"/>
        <v>-6</v>
      </c>
      <c r="AG310" s="42">
        <f t="shared" si="26"/>
        <v>0</v>
      </c>
      <c r="AH310" s="42">
        <f t="shared" si="27"/>
        <v>-6</v>
      </c>
      <c r="AI310" s="43">
        <f t="shared" si="28"/>
        <v>0.01</v>
      </c>
      <c r="AJ310" s="2"/>
      <c r="AK310" s="2"/>
      <c r="AL310" s="3"/>
      <c r="AM310" s="1"/>
      <c r="AN310" s="3"/>
      <c r="AO310" s="2"/>
      <c r="AP310" s="4"/>
      <c r="AQ310" s="2"/>
      <c r="AR310" s="5"/>
      <c r="AS310" s="1"/>
      <c r="AT310" s="1"/>
      <c r="AU310" s="1"/>
      <c r="AV310" s="1"/>
      <c r="AW310" s="1"/>
      <c r="AX310" s="1"/>
      <c r="AY310" s="1"/>
      <c r="AZ310" s="1"/>
    </row>
    <row r="311" spans="27:52" x14ac:dyDescent="0.25">
      <c r="AA311" s="1"/>
      <c r="AB311" s="1"/>
      <c r="AC311" s="31"/>
      <c r="AD311" s="32"/>
      <c r="AE311" s="33">
        <f t="shared" si="24"/>
        <v>19</v>
      </c>
      <c r="AF311" s="41">
        <f t="shared" si="25"/>
        <v>-6</v>
      </c>
      <c r="AG311" s="42">
        <f t="shared" si="26"/>
        <v>0</v>
      </c>
      <c r="AH311" s="42">
        <f t="shared" si="27"/>
        <v>-6</v>
      </c>
      <c r="AI311" s="43">
        <f t="shared" si="28"/>
        <v>0.01</v>
      </c>
      <c r="AJ311" s="2"/>
      <c r="AK311" s="2"/>
      <c r="AL311" s="3"/>
      <c r="AM311" s="1"/>
      <c r="AN311" s="3"/>
      <c r="AO311" s="2"/>
      <c r="AP311" s="4"/>
      <c r="AQ311" s="2"/>
      <c r="AR311" s="5"/>
      <c r="AS311" s="1"/>
      <c r="AT311" s="1"/>
      <c r="AU311" s="1"/>
      <c r="AV311" s="1"/>
      <c r="AW311" s="1"/>
      <c r="AX311" s="1"/>
      <c r="AY311" s="1"/>
      <c r="AZ311" s="1"/>
    </row>
    <row r="312" spans="27:52" x14ac:dyDescent="0.25">
      <c r="AA312" s="1"/>
      <c r="AB312" s="1"/>
      <c r="AC312" s="31"/>
      <c r="AD312" s="32"/>
      <c r="AE312" s="33">
        <f t="shared" si="24"/>
        <v>19</v>
      </c>
      <c r="AF312" s="41">
        <f t="shared" si="25"/>
        <v>-6</v>
      </c>
      <c r="AG312" s="42">
        <f t="shared" si="26"/>
        <v>0</v>
      </c>
      <c r="AH312" s="42">
        <f t="shared" si="27"/>
        <v>-6</v>
      </c>
      <c r="AI312" s="43">
        <f t="shared" si="28"/>
        <v>0.01</v>
      </c>
      <c r="AJ312" s="2"/>
      <c r="AK312" s="2"/>
      <c r="AL312" s="3"/>
      <c r="AM312" s="1"/>
      <c r="AN312" s="3"/>
      <c r="AO312" s="2"/>
      <c r="AP312" s="4"/>
      <c r="AQ312" s="2"/>
      <c r="AR312" s="5"/>
      <c r="AS312" s="1"/>
      <c r="AT312" s="1"/>
      <c r="AU312" s="1"/>
      <c r="AV312" s="1"/>
      <c r="AW312" s="1"/>
      <c r="AX312" s="1"/>
      <c r="AY312" s="1"/>
      <c r="AZ312" s="1"/>
    </row>
    <row r="313" spans="27:52" x14ac:dyDescent="0.25">
      <c r="AA313" s="1"/>
      <c r="AB313" s="1"/>
      <c r="AC313" s="31"/>
      <c r="AD313" s="32"/>
      <c r="AE313" s="33">
        <f t="shared" si="24"/>
        <v>19</v>
      </c>
      <c r="AF313" s="41">
        <f t="shared" si="25"/>
        <v>-6</v>
      </c>
      <c r="AG313" s="42">
        <f t="shared" si="26"/>
        <v>0</v>
      </c>
      <c r="AH313" s="42">
        <f t="shared" si="27"/>
        <v>-6</v>
      </c>
      <c r="AI313" s="43">
        <f t="shared" si="28"/>
        <v>0.01</v>
      </c>
      <c r="AJ313" s="2"/>
      <c r="AK313" s="2"/>
      <c r="AL313" s="3"/>
      <c r="AM313" s="1"/>
      <c r="AN313" s="3"/>
      <c r="AO313" s="2"/>
      <c r="AP313" s="4"/>
      <c r="AQ313" s="2"/>
      <c r="AR313" s="5"/>
      <c r="AS313" s="1"/>
      <c r="AT313" s="1"/>
      <c r="AU313" s="1"/>
      <c r="AV313" s="1"/>
      <c r="AW313" s="1"/>
      <c r="AX313" s="1"/>
      <c r="AY313" s="1"/>
      <c r="AZ313" s="1"/>
    </row>
    <row r="314" spans="27:52" x14ac:dyDescent="0.25">
      <c r="AA314" s="1"/>
      <c r="AB314" s="1"/>
      <c r="AC314" s="31"/>
      <c r="AD314" s="32"/>
      <c r="AE314" s="33">
        <f t="shared" si="24"/>
        <v>19</v>
      </c>
      <c r="AF314" s="41">
        <f t="shared" si="25"/>
        <v>-6</v>
      </c>
      <c r="AG314" s="42">
        <f t="shared" si="26"/>
        <v>0</v>
      </c>
      <c r="AH314" s="42">
        <f t="shared" si="27"/>
        <v>-6</v>
      </c>
      <c r="AI314" s="43">
        <f t="shared" si="28"/>
        <v>0.01</v>
      </c>
      <c r="AJ314" s="2"/>
      <c r="AK314" s="2"/>
      <c r="AL314" s="3"/>
      <c r="AM314" s="1"/>
      <c r="AN314" s="3"/>
      <c r="AO314" s="2"/>
      <c r="AP314" s="4"/>
      <c r="AQ314" s="2"/>
      <c r="AR314" s="5"/>
      <c r="AS314" s="1"/>
      <c r="AT314" s="1"/>
      <c r="AU314" s="1"/>
      <c r="AV314" s="1"/>
      <c r="AW314" s="1"/>
      <c r="AX314" s="1"/>
      <c r="AY314" s="1"/>
      <c r="AZ314" s="1"/>
    </row>
    <row r="315" spans="27:52" x14ac:dyDescent="0.25">
      <c r="AA315" s="1"/>
      <c r="AB315" s="1"/>
      <c r="AC315" s="31"/>
      <c r="AD315" s="32"/>
      <c r="AE315" s="33">
        <f t="shared" si="24"/>
        <v>19</v>
      </c>
      <c r="AF315" s="41">
        <f t="shared" si="25"/>
        <v>-6</v>
      </c>
      <c r="AG315" s="42">
        <f t="shared" si="26"/>
        <v>0</v>
      </c>
      <c r="AH315" s="42">
        <f t="shared" si="27"/>
        <v>-6</v>
      </c>
      <c r="AI315" s="43">
        <f t="shared" si="28"/>
        <v>0.01</v>
      </c>
      <c r="AJ315" s="2"/>
      <c r="AK315" s="2"/>
      <c r="AL315" s="3"/>
      <c r="AM315" s="1"/>
      <c r="AN315" s="3"/>
      <c r="AO315" s="2"/>
      <c r="AP315" s="4"/>
      <c r="AQ315" s="2"/>
      <c r="AR315" s="5"/>
      <c r="AS315" s="1"/>
      <c r="AT315" s="1"/>
      <c r="AU315" s="1"/>
      <c r="AV315" s="1"/>
      <c r="AW315" s="1"/>
      <c r="AX315" s="1"/>
      <c r="AY315" s="1"/>
      <c r="AZ315" s="1"/>
    </row>
    <row r="316" spans="27:52" x14ac:dyDescent="0.25">
      <c r="AA316" s="1"/>
      <c r="AB316" s="1"/>
      <c r="AC316" s="31"/>
      <c r="AD316" s="32"/>
      <c r="AE316" s="33">
        <f t="shared" si="24"/>
        <v>19</v>
      </c>
      <c r="AF316" s="41">
        <f t="shared" si="25"/>
        <v>-6</v>
      </c>
      <c r="AG316" s="42">
        <f t="shared" si="26"/>
        <v>0</v>
      </c>
      <c r="AH316" s="42">
        <f t="shared" si="27"/>
        <v>-6</v>
      </c>
      <c r="AI316" s="43">
        <f t="shared" si="28"/>
        <v>0.01</v>
      </c>
      <c r="AJ316" s="2"/>
      <c r="AK316" s="2"/>
      <c r="AL316" s="3"/>
      <c r="AM316" s="1"/>
      <c r="AN316" s="3"/>
      <c r="AO316" s="2"/>
      <c r="AP316" s="4"/>
      <c r="AQ316" s="2"/>
      <c r="AR316" s="5"/>
      <c r="AS316" s="1"/>
      <c r="AT316" s="1"/>
      <c r="AU316" s="1"/>
      <c r="AV316" s="1"/>
      <c r="AW316" s="1"/>
      <c r="AX316" s="1"/>
      <c r="AY316" s="1"/>
      <c r="AZ316" s="1"/>
    </row>
    <row r="317" spans="27:52" x14ac:dyDescent="0.25">
      <c r="AA317" s="1"/>
      <c r="AB317" s="1"/>
      <c r="AC317" s="31"/>
      <c r="AD317" s="32"/>
      <c r="AE317" s="33">
        <f t="shared" si="24"/>
        <v>19</v>
      </c>
      <c r="AF317" s="41">
        <f t="shared" si="25"/>
        <v>-6</v>
      </c>
      <c r="AG317" s="42">
        <f t="shared" si="26"/>
        <v>0</v>
      </c>
      <c r="AH317" s="42">
        <f t="shared" si="27"/>
        <v>-6</v>
      </c>
      <c r="AI317" s="43">
        <f t="shared" si="28"/>
        <v>0.01</v>
      </c>
      <c r="AJ317" s="2"/>
      <c r="AK317" s="2"/>
      <c r="AL317" s="3"/>
      <c r="AM317" s="1"/>
      <c r="AN317" s="3"/>
      <c r="AO317" s="2"/>
      <c r="AP317" s="4"/>
      <c r="AQ317" s="2"/>
      <c r="AR317" s="5"/>
      <c r="AS317" s="1"/>
      <c r="AT317" s="1"/>
      <c r="AU317" s="1"/>
      <c r="AV317" s="1"/>
      <c r="AW317" s="1"/>
      <c r="AX317" s="1"/>
      <c r="AY317" s="1"/>
      <c r="AZ317" s="1"/>
    </row>
    <row r="318" spans="27:52" x14ac:dyDescent="0.25">
      <c r="AA318" s="1"/>
      <c r="AB318" s="1"/>
      <c r="AC318" s="31"/>
      <c r="AD318" s="32"/>
      <c r="AE318" s="33">
        <f t="shared" si="24"/>
        <v>19</v>
      </c>
      <c r="AF318" s="41">
        <f t="shared" si="25"/>
        <v>-6</v>
      </c>
      <c r="AG318" s="42">
        <f t="shared" si="26"/>
        <v>0</v>
      </c>
      <c r="AH318" s="42">
        <f t="shared" si="27"/>
        <v>-6</v>
      </c>
      <c r="AI318" s="43">
        <f t="shared" si="28"/>
        <v>0.01</v>
      </c>
      <c r="AJ318" s="2"/>
      <c r="AK318" s="2"/>
      <c r="AL318" s="3"/>
      <c r="AM318" s="1"/>
      <c r="AN318" s="3"/>
      <c r="AO318" s="2"/>
      <c r="AP318" s="4"/>
      <c r="AQ318" s="2"/>
      <c r="AR318" s="5"/>
      <c r="AS318" s="1"/>
      <c r="AT318" s="1"/>
      <c r="AU318" s="1"/>
      <c r="AV318" s="1"/>
      <c r="AW318" s="1"/>
      <c r="AX318" s="1"/>
      <c r="AY318" s="1"/>
      <c r="AZ318" s="1"/>
    </row>
    <row r="319" spans="27:52" x14ac:dyDescent="0.25">
      <c r="AA319" s="1"/>
      <c r="AB319" s="1"/>
      <c r="AC319" s="31"/>
      <c r="AD319" s="32"/>
      <c r="AE319" s="33">
        <f t="shared" si="24"/>
        <v>19</v>
      </c>
      <c r="AF319" s="41">
        <f t="shared" si="25"/>
        <v>-6</v>
      </c>
      <c r="AG319" s="42">
        <f t="shared" si="26"/>
        <v>0</v>
      </c>
      <c r="AH319" s="42">
        <f t="shared" si="27"/>
        <v>-6</v>
      </c>
      <c r="AI319" s="43">
        <f t="shared" si="28"/>
        <v>0.01</v>
      </c>
      <c r="AJ319" s="2"/>
      <c r="AK319" s="2"/>
      <c r="AL319" s="3"/>
      <c r="AM319" s="1"/>
      <c r="AN319" s="3"/>
      <c r="AO319" s="2"/>
      <c r="AP319" s="4"/>
      <c r="AQ319" s="2"/>
      <c r="AR319" s="5"/>
      <c r="AS319" s="1"/>
      <c r="AT319" s="1"/>
      <c r="AU319" s="1"/>
      <c r="AV319" s="1"/>
      <c r="AW319" s="1"/>
      <c r="AX319" s="1"/>
      <c r="AY319" s="1"/>
      <c r="AZ319" s="1"/>
    </row>
    <row r="320" spans="27:52" x14ac:dyDescent="0.25">
      <c r="AA320" s="1"/>
      <c r="AB320" s="1"/>
      <c r="AC320" s="31"/>
      <c r="AD320" s="32"/>
      <c r="AE320" s="33">
        <f t="shared" si="24"/>
        <v>19</v>
      </c>
      <c r="AF320" s="41">
        <f t="shared" si="25"/>
        <v>-6</v>
      </c>
      <c r="AG320" s="42">
        <f t="shared" si="26"/>
        <v>0</v>
      </c>
      <c r="AH320" s="42">
        <f t="shared" si="27"/>
        <v>-6</v>
      </c>
      <c r="AI320" s="43">
        <f t="shared" si="28"/>
        <v>0.01</v>
      </c>
      <c r="AJ320" s="2"/>
      <c r="AK320" s="2"/>
      <c r="AL320" s="3"/>
      <c r="AM320" s="1"/>
      <c r="AN320" s="3"/>
      <c r="AO320" s="2"/>
      <c r="AP320" s="4"/>
      <c r="AQ320" s="2"/>
      <c r="AR320" s="5"/>
      <c r="AS320" s="1"/>
      <c r="AT320" s="1"/>
      <c r="AU320" s="1"/>
      <c r="AV320" s="1"/>
      <c r="AW320" s="1"/>
      <c r="AX320" s="1"/>
      <c r="AY320" s="1"/>
      <c r="AZ320" s="1"/>
    </row>
    <row r="321" spans="27:52" x14ac:dyDescent="0.25">
      <c r="AA321" s="1"/>
      <c r="AB321" s="1"/>
      <c r="AC321" s="31"/>
      <c r="AD321" s="32"/>
      <c r="AE321" s="33">
        <f t="shared" si="24"/>
        <v>19</v>
      </c>
      <c r="AF321" s="41">
        <f t="shared" si="25"/>
        <v>-6</v>
      </c>
      <c r="AG321" s="42">
        <f t="shared" si="26"/>
        <v>0</v>
      </c>
      <c r="AH321" s="42">
        <f t="shared" si="27"/>
        <v>-6</v>
      </c>
      <c r="AI321" s="43">
        <f t="shared" si="28"/>
        <v>0.01</v>
      </c>
      <c r="AJ321" s="2"/>
      <c r="AK321" s="2"/>
      <c r="AL321" s="3"/>
      <c r="AM321" s="1"/>
      <c r="AN321" s="3"/>
      <c r="AO321" s="2"/>
      <c r="AP321" s="4"/>
      <c r="AQ321" s="2"/>
      <c r="AR321" s="5"/>
      <c r="AS321" s="1"/>
      <c r="AT321" s="1"/>
      <c r="AU321" s="1"/>
      <c r="AV321" s="1"/>
      <c r="AW321" s="1"/>
      <c r="AX321" s="1"/>
      <c r="AY321" s="1"/>
      <c r="AZ321" s="1"/>
    </row>
    <row r="322" spans="27:52" x14ac:dyDescent="0.25">
      <c r="AA322" s="1"/>
      <c r="AB322" s="1"/>
      <c r="AC322" s="31"/>
      <c r="AD322" s="32"/>
      <c r="AE322" s="33">
        <f t="shared" si="24"/>
        <v>19</v>
      </c>
      <c r="AF322" s="41">
        <f t="shared" si="25"/>
        <v>-6</v>
      </c>
      <c r="AG322" s="42">
        <f t="shared" si="26"/>
        <v>0</v>
      </c>
      <c r="AH322" s="42">
        <f t="shared" si="27"/>
        <v>-6</v>
      </c>
      <c r="AI322" s="43">
        <f t="shared" si="28"/>
        <v>0.01</v>
      </c>
      <c r="AJ322" s="2"/>
      <c r="AK322" s="2"/>
      <c r="AL322" s="3"/>
      <c r="AM322" s="1"/>
      <c r="AN322" s="3"/>
      <c r="AO322" s="2"/>
      <c r="AP322" s="4"/>
      <c r="AQ322" s="2"/>
      <c r="AR322" s="5"/>
      <c r="AS322" s="1"/>
      <c r="AT322" s="1"/>
      <c r="AU322" s="1"/>
      <c r="AV322" s="1"/>
      <c r="AW322" s="1"/>
      <c r="AX322" s="1"/>
      <c r="AY322" s="1"/>
      <c r="AZ322" s="1"/>
    </row>
    <row r="323" spans="27:52" x14ac:dyDescent="0.25">
      <c r="AA323" s="1"/>
      <c r="AB323" s="1"/>
      <c r="AC323" s="31"/>
      <c r="AD323" s="32"/>
      <c r="AE323" s="33">
        <f t="shared" ref="AE323:AE386" si="29">AE322</f>
        <v>19</v>
      </c>
      <c r="AF323" s="41">
        <f t="shared" si="25"/>
        <v>-6</v>
      </c>
      <c r="AG323" s="42">
        <f t="shared" si="26"/>
        <v>0</v>
      </c>
      <c r="AH323" s="42">
        <f t="shared" si="27"/>
        <v>-6</v>
      </c>
      <c r="AI323" s="43">
        <f t="shared" si="28"/>
        <v>0.01</v>
      </c>
      <c r="AJ323" s="2"/>
      <c r="AK323" s="2"/>
      <c r="AL323" s="3"/>
      <c r="AM323" s="1"/>
      <c r="AN323" s="3"/>
      <c r="AO323" s="2"/>
      <c r="AP323" s="4"/>
      <c r="AQ323" s="2"/>
      <c r="AR323" s="5"/>
      <c r="AS323" s="1"/>
      <c r="AT323" s="1"/>
      <c r="AU323" s="1"/>
      <c r="AV323" s="1"/>
      <c r="AW323" s="1"/>
      <c r="AX323" s="1"/>
      <c r="AY323" s="1"/>
      <c r="AZ323" s="1"/>
    </row>
    <row r="324" spans="27:52" x14ac:dyDescent="0.25">
      <c r="AA324" s="1"/>
      <c r="AB324" s="1"/>
      <c r="AC324" s="31"/>
      <c r="AD324" s="32"/>
      <c r="AE324" s="33">
        <f t="shared" si="29"/>
        <v>19</v>
      </c>
      <c r="AF324" s="41">
        <f t="shared" si="25"/>
        <v>-6</v>
      </c>
      <c r="AG324" s="42">
        <f t="shared" si="26"/>
        <v>0</v>
      </c>
      <c r="AH324" s="42">
        <f t="shared" si="27"/>
        <v>-6</v>
      </c>
      <c r="AI324" s="43">
        <f t="shared" si="28"/>
        <v>0.01</v>
      </c>
      <c r="AJ324" s="2"/>
      <c r="AK324" s="2"/>
      <c r="AL324" s="3"/>
      <c r="AM324" s="1"/>
      <c r="AN324" s="3"/>
      <c r="AO324" s="2"/>
      <c r="AP324" s="4"/>
      <c r="AQ324" s="2"/>
      <c r="AR324" s="5"/>
      <c r="AS324" s="1"/>
      <c r="AT324" s="1"/>
      <c r="AU324" s="1"/>
      <c r="AV324" s="1"/>
      <c r="AW324" s="1"/>
      <c r="AX324" s="1"/>
      <c r="AY324" s="1"/>
      <c r="AZ324" s="1"/>
    </row>
    <row r="325" spans="27:52" x14ac:dyDescent="0.25">
      <c r="AA325" s="1"/>
      <c r="AB325" s="1"/>
      <c r="AC325" s="31"/>
      <c r="AD325" s="32"/>
      <c r="AE325" s="33">
        <f t="shared" si="29"/>
        <v>19</v>
      </c>
      <c r="AF325" s="41">
        <f t="shared" si="25"/>
        <v>-6</v>
      </c>
      <c r="AG325" s="42">
        <f t="shared" si="26"/>
        <v>0</v>
      </c>
      <c r="AH325" s="42">
        <f t="shared" si="27"/>
        <v>-6</v>
      </c>
      <c r="AI325" s="43">
        <f t="shared" si="28"/>
        <v>0.01</v>
      </c>
      <c r="AJ325" s="2"/>
      <c r="AK325" s="2"/>
      <c r="AL325" s="3"/>
      <c r="AM325" s="1"/>
      <c r="AN325" s="3"/>
      <c r="AO325" s="2"/>
      <c r="AP325" s="4"/>
      <c r="AQ325" s="2"/>
      <c r="AR325" s="5"/>
      <c r="AS325" s="1"/>
      <c r="AT325" s="1"/>
      <c r="AU325" s="1"/>
      <c r="AV325" s="1"/>
      <c r="AW325" s="1"/>
      <c r="AX325" s="1"/>
      <c r="AY325" s="1"/>
      <c r="AZ325" s="1"/>
    </row>
    <row r="326" spans="27:52" x14ac:dyDescent="0.25">
      <c r="AA326" s="1"/>
      <c r="AB326" s="1"/>
      <c r="AC326" s="31"/>
      <c r="AD326" s="32"/>
      <c r="AE326" s="33">
        <f t="shared" si="29"/>
        <v>19</v>
      </c>
      <c r="AF326" s="41">
        <f t="shared" si="25"/>
        <v>-6</v>
      </c>
      <c r="AG326" s="42">
        <f t="shared" si="26"/>
        <v>0</v>
      </c>
      <c r="AH326" s="42">
        <f t="shared" si="27"/>
        <v>-6</v>
      </c>
      <c r="AI326" s="43">
        <f t="shared" si="28"/>
        <v>0.01</v>
      </c>
      <c r="AJ326" s="2"/>
      <c r="AK326" s="2"/>
      <c r="AL326" s="3"/>
      <c r="AM326" s="1"/>
      <c r="AN326" s="3"/>
      <c r="AO326" s="2"/>
      <c r="AP326" s="4"/>
      <c r="AQ326" s="2"/>
      <c r="AR326" s="5"/>
      <c r="AS326" s="1"/>
      <c r="AT326" s="1"/>
      <c r="AU326" s="1"/>
      <c r="AV326" s="1"/>
      <c r="AW326" s="1"/>
      <c r="AX326" s="1"/>
      <c r="AY326" s="1"/>
      <c r="AZ326" s="1"/>
    </row>
    <row r="327" spans="27:52" x14ac:dyDescent="0.25">
      <c r="AA327" s="1"/>
      <c r="AB327" s="1"/>
      <c r="AC327" s="31"/>
      <c r="AD327" s="32"/>
      <c r="AE327" s="33">
        <f t="shared" si="29"/>
        <v>19</v>
      </c>
      <c r="AF327" s="41">
        <f t="shared" si="25"/>
        <v>-6</v>
      </c>
      <c r="AG327" s="42">
        <f t="shared" si="26"/>
        <v>0</v>
      </c>
      <c r="AH327" s="42">
        <f t="shared" si="27"/>
        <v>-6</v>
      </c>
      <c r="AI327" s="43">
        <f t="shared" si="28"/>
        <v>0.01</v>
      </c>
      <c r="AJ327" s="2"/>
      <c r="AK327" s="2"/>
      <c r="AL327" s="3"/>
      <c r="AM327" s="1"/>
      <c r="AN327" s="3"/>
      <c r="AO327" s="2"/>
      <c r="AP327" s="4"/>
      <c r="AQ327" s="2"/>
      <c r="AR327" s="5"/>
      <c r="AS327" s="1"/>
      <c r="AT327" s="1"/>
      <c r="AU327" s="1"/>
      <c r="AV327" s="1"/>
      <c r="AW327" s="1"/>
      <c r="AX327" s="1"/>
      <c r="AY327" s="1"/>
      <c r="AZ327" s="1"/>
    </row>
    <row r="328" spans="27:52" x14ac:dyDescent="0.25">
      <c r="AA328" s="1"/>
      <c r="AB328" s="1"/>
      <c r="AC328" s="31"/>
      <c r="AD328" s="32"/>
      <c r="AE328" s="33">
        <f t="shared" si="29"/>
        <v>19</v>
      </c>
      <c r="AF328" s="41">
        <f t="shared" si="25"/>
        <v>-6</v>
      </c>
      <c r="AG328" s="42">
        <f t="shared" si="26"/>
        <v>0</v>
      </c>
      <c r="AH328" s="42">
        <f t="shared" si="27"/>
        <v>-6</v>
      </c>
      <c r="AI328" s="43">
        <f t="shared" si="28"/>
        <v>0.01</v>
      </c>
      <c r="AJ328" s="2"/>
      <c r="AK328" s="2"/>
      <c r="AL328" s="3"/>
      <c r="AM328" s="1"/>
      <c r="AN328" s="3"/>
      <c r="AO328" s="2"/>
      <c r="AP328" s="4"/>
      <c r="AQ328" s="2"/>
      <c r="AR328" s="5"/>
      <c r="AS328" s="1"/>
      <c r="AT328" s="1"/>
      <c r="AU328" s="1"/>
      <c r="AV328" s="1"/>
      <c r="AW328" s="1"/>
      <c r="AX328" s="1"/>
      <c r="AY328" s="1"/>
      <c r="AZ328" s="1"/>
    </row>
    <row r="329" spans="27:52" x14ac:dyDescent="0.25">
      <c r="AA329" s="1"/>
      <c r="AB329" s="1"/>
      <c r="AC329" s="31"/>
      <c r="AD329" s="32"/>
      <c r="AE329" s="33">
        <f t="shared" si="29"/>
        <v>19</v>
      </c>
      <c r="AF329" s="41">
        <f t="shared" si="25"/>
        <v>-6</v>
      </c>
      <c r="AG329" s="42">
        <f t="shared" si="26"/>
        <v>0</v>
      </c>
      <c r="AH329" s="42">
        <f t="shared" si="27"/>
        <v>-6</v>
      </c>
      <c r="AI329" s="43">
        <f t="shared" si="28"/>
        <v>0.01</v>
      </c>
      <c r="AJ329" s="2"/>
      <c r="AK329" s="2"/>
      <c r="AL329" s="3"/>
      <c r="AM329" s="1"/>
      <c r="AN329" s="3"/>
      <c r="AO329" s="2"/>
      <c r="AP329" s="4"/>
      <c r="AQ329" s="2"/>
      <c r="AR329" s="5"/>
      <c r="AS329" s="1"/>
      <c r="AT329" s="1"/>
      <c r="AU329" s="1"/>
      <c r="AV329" s="1"/>
      <c r="AW329" s="1"/>
      <c r="AX329" s="1"/>
      <c r="AY329" s="1"/>
      <c r="AZ329" s="1"/>
    </row>
    <row r="330" spans="27:52" x14ac:dyDescent="0.25">
      <c r="AA330" s="1"/>
      <c r="AB330" s="1"/>
      <c r="AC330" s="31"/>
      <c r="AD330" s="32"/>
      <c r="AE330" s="33">
        <f t="shared" si="29"/>
        <v>19</v>
      </c>
      <c r="AF330" s="41">
        <f t="shared" ref="AF330:AF393" si="30">IF(AF329+(AH329/AE330)&lt;AH329,AH329,AF329+(AH329/AE330))</f>
        <v>-6</v>
      </c>
      <c r="AG330" s="42">
        <f t="shared" ref="AG330:AG393" si="31">AI330*(1-(AF330/AH330))^2</f>
        <v>0</v>
      </c>
      <c r="AH330" s="42">
        <f t="shared" ref="AH330:AH393" si="32">AH329</f>
        <v>-6</v>
      </c>
      <c r="AI330" s="43">
        <f t="shared" ref="AI330:AI393" si="33">AI329</f>
        <v>0.01</v>
      </c>
      <c r="AJ330" s="2"/>
      <c r="AK330" s="2"/>
      <c r="AL330" s="3"/>
      <c r="AM330" s="1"/>
      <c r="AN330" s="3"/>
      <c r="AO330" s="2"/>
      <c r="AP330" s="4"/>
      <c r="AQ330" s="2"/>
      <c r="AR330" s="5"/>
      <c r="AS330" s="1"/>
      <c r="AT330" s="1"/>
      <c r="AU330" s="1"/>
      <c r="AV330" s="1"/>
      <c r="AW330" s="1"/>
      <c r="AX330" s="1"/>
      <c r="AY330" s="1"/>
      <c r="AZ330" s="1"/>
    </row>
    <row r="331" spans="27:52" x14ac:dyDescent="0.25">
      <c r="AA331" s="1"/>
      <c r="AB331" s="1"/>
      <c r="AC331" s="31"/>
      <c r="AD331" s="32"/>
      <c r="AE331" s="33">
        <f t="shared" si="29"/>
        <v>19</v>
      </c>
      <c r="AF331" s="41">
        <f t="shared" si="30"/>
        <v>-6</v>
      </c>
      <c r="AG331" s="42">
        <f t="shared" si="31"/>
        <v>0</v>
      </c>
      <c r="AH331" s="42">
        <f t="shared" si="32"/>
        <v>-6</v>
      </c>
      <c r="AI331" s="43">
        <f t="shared" si="33"/>
        <v>0.01</v>
      </c>
      <c r="AJ331" s="2"/>
      <c r="AK331" s="2"/>
      <c r="AL331" s="3"/>
      <c r="AM331" s="1"/>
      <c r="AN331" s="3"/>
      <c r="AO331" s="2"/>
      <c r="AP331" s="4"/>
      <c r="AQ331" s="2"/>
      <c r="AR331" s="5"/>
      <c r="AS331" s="1"/>
      <c r="AT331" s="1"/>
      <c r="AU331" s="1"/>
      <c r="AV331" s="1"/>
      <c r="AW331" s="1"/>
      <c r="AX331" s="1"/>
      <c r="AY331" s="1"/>
      <c r="AZ331" s="1"/>
    </row>
    <row r="332" spans="27:52" x14ac:dyDescent="0.25">
      <c r="AA332" s="1"/>
      <c r="AB332" s="1"/>
      <c r="AC332" s="31"/>
      <c r="AD332" s="32"/>
      <c r="AE332" s="33">
        <f t="shared" si="29"/>
        <v>19</v>
      </c>
      <c r="AF332" s="41">
        <f t="shared" si="30"/>
        <v>-6</v>
      </c>
      <c r="AG332" s="42">
        <f t="shared" si="31"/>
        <v>0</v>
      </c>
      <c r="AH332" s="42">
        <f t="shared" si="32"/>
        <v>-6</v>
      </c>
      <c r="AI332" s="43">
        <f t="shared" si="33"/>
        <v>0.01</v>
      </c>
      <c r="AJ332" s="2"/>
      <c r="AK332" s="2"/>
      <c r="AL332" s="3"/>
      <c r="AM332" s="1"/>
      <c r="AN332" s="3"/>
      <c r="AO332" s="2"/>
      <c r="AP332" s="4"/>
      <c r="AQ332" s="2"/>
      <c r="AR332" s="5"/>
      <c r="AS332" s="1"/>
      <c r="AT332" s="1"/>
      <c r="AU332" s="1"/>
      <c r="AV332" s="1"/>
      <c r="AW332" s="1"/>
      <c r="AX332" s="1"/>
      <c r="AY332" s="1"/>
      <c r="AZ332" s="1"/>
    </row>
    <row r="333" spans="27:52" x14ac:dyDescent="0.25">
      <c r="AA333" s="1"/>
      <c r="AB333" s="1"/>
      <c r="AC333" s="31"/>
      <c r="AD333" s="32"/>
      <c r="AE333" s="33">
        <f t="shared" si="29"/>
        <v>19</v>
      </c>
      <c r="AF333" s="41">
        <f t="shared" si="30"/>
        <v>-6</v>
      </c>
      <c r="AG333" s="42">
        <f t="shared" si="31"/>
        <v>0</v>
      </c>
      <c r="AH333" s="42">
        <f t="shared" si="32"/>
        <v>-6</v>
      </c>
      <c r="AI333" s="43">
        <f t="shared" si="33"/>
        <v>0.01</v>
      </c>
      <c r="AJ333" s="2"/>
      <c r="AK333" s="2"/>
      <c r="AL333" s="3"/>
      <c r="AM333" s="1"/>
      <c r="AN333" s="3"/>
      <c r="AO333" s="2"/>
      <c r="AP333" s="4"/>
      <c r="AQ333" s="2"/>
      <c r="AR333" s="5"/>
      <c r="AS333" s="1"/>
      <c r="AT333" s="1"/>
      <c r="AU333" s="1"/>
      <c r="AV333" s="1"/>
      <c r="AW333" s="1"/>
      <c r="AX333" s="1"/>
      <c r="AY333" s="1"/>
      <c r="AZ333" s="1"/>
    </row>
    <row r="334" spans="27:52" x14ac:dyDescent="0.25">
      <c r="AA334" s="1"/>
      <c r="AB334" s="1"/>
      <c r="AC334" s="31"/>
      <c r="AD334" s="32"/>
      <c r="AE334" s="33">
        <f t="shared" si="29"/>
        <v>19</v>
      </c>
      <c r="AF334" s="41">
        <f t="shared" si="30"/>
        <v>-6</v>
      </c>
      <c r="AG334" s="42">
        <f t="shared" si="31"/>
        <v>0</v>
      </c>
      <c r="AH334" s="42">
        <f t="shared" si="32"/>
        <v>-6</v>
      </c>
      <c r="AI334" s="43">
        <f t="shared" si="33"/>
        <v>0.01</v>
      </c>
      <c r="AJ334" s="2"/>
      <c r="AK334" s="2"/>
      <c r="AL334" s="3"/>
      <c r="AM334" s="1"/>
      <c r="AN334" s="3"/>
      <c r="AO334" s="2"/>
      <c r="AP334" s="4"/>
      <c r="AQ334" s="2"/>
      <c r="AR334" s="5"/>
      <c r="AS334" s="1"/>
      <c r="AT334" s="1"/>
      <c r="AU334" s="1"/>
      <c r="AV334" s="1"/>
      <c r="AW334" s="1"/>
      <c r="AX334" s="1"/>
      <c r="AY334" s="1"/>
      <c r="AZ334" s="1"/>
    </row>
    <row r="335" spans="27:52" x14ac:dyDescent="0.25">
      <c r="AA335" s="1"/>
      <c r="AB335" s="1"/>
      <c r="AC335" s="31"/>
      <c r="AD335" s="32"/>
      <c r="AE335" s="33">
        <f t="shared" si="29"/>
        <v>19</v>
      </c>
      <c r="AF335" s="41">
        <f t="shared" si="30"/>
        <v>-6</v>
      </c>
      <c r="AG335" s="42">
        <f t="shared" si="31"/>
        <v>0</v>
      </c>
      <c r="AH335" s="42">
        <f t="shared" si="32"/>
        <v>-6</v>
      </c>
      <c r="AI335" s="43">
        <f t="shared" si="33"/>
        <v>0.01</v>
      </c>
      <c r="AJ335" s="2"/>
      <c r="AK335" s="2"/>
      <c r="AL335" s="3"/>
      <c r="AM335" s="1"/>
      <c r="AN335" s="3"/>
      <c r="AO335" s="2"/>
      <c r="AP335" s="4"/>
      <c r="AQ335" s="2"/>
      <c r="AR335" s="5"/>
      <c r="AS335" s="1"/>
      <c r="AT335" s="1"/>
      <c r="AU335" s="1"/>
      <c r="AV335" s="1"/>
      <c r="AW335" s="1"/>
      <c r="AX335" s="1"/>
      <c r="AY335" s="1"/>
      <c r="AZ335" s="1"/>
    </row>
    <row r="336" spans="27:52" x14ac:dyDescent="0.25">
      <c r="AA336" s="1"/>
      <c r="AB336" s="1"/>
      <c r="AC336" s="31"/>
      <c r="AD336" s="32"/>
      <c r="AE336" s="33">
        <f t="shared" si="29"/>
        <v>19</v>
      </c>
      <c r="AF336" s="41">
        <f t="shared" si="30"/>
        <v>-6</v>
      </c>
      <c r="AG336" s="42">
        <f t="shared" si="31"/>
        <v>0</v>
      </c>
      <c r="AH336" s="42">
        <f t="shared" si="32"/>
        <v>-6</v>
      </c>
      <c r="AI336" s="43">
        <f t="shared" si="33"/>
        <v>0.01</v>
      </c>
      <c r="AJ336" s="2"/>
      <c r="AK336" s="2"/>
      <c r="AL336" s="3"/>
      <c r="AM336" s="1"/>
      <c r="AN336" s="3"/>
      <c r="AO336" s="2"/>
      <c r="AP336" s="4"/>
      <c r="AQ336" s="2"/>
      <c r="AR336" s="5"/>
      <c r="AS336" s="1"/>
      <c r="AT336" s="1"/>
      <c r="AU336" s="1"/>
      <c r="AV336" s="1"/>
      <c r="AW336" s="1"/>
      <c r="AX336" s="1"/>
      <c r="AY336" s="1"/>
      <c r="AZ336" s="1"/>
    </row>
    <row r="337" spans="27:52" x14ac:dyDescent="0.25">
      <c r="AA337" s="1"/>
      <c r="AB337" s="1"/>
      <c r="AC337" s="31"/>
      <c r="AD337" s="32"/>
      <c r="AE337" s="33">
        <f t="shared" si="29"/>
        <v>19</v>
      </c>
      <c r="AF337" s="41">
        <f t="shared" si="30"/>
        <v>-6</v>
      </c>
      <c r="AG337" s="42">
        <f t="shared" si="31"/>
        <v>0</v>
      </c>
      <c r="AH337" s="42">
        <f t="shared" si="32"/>
        <v>-6</v>
      </c>
      <c r="AI337" s="43">
        <f t="shared" si="33"/>
        <v>0.01</v>
      </c>
      <c r="AJ337" s="2"/>
      <c r="AK337" s="2"/>
      <c r="AL337" s="3"/>
      <c r="AM337" s="1"/>
      <c r="AN337" s="3"/>
      <c r="AO337" s="2"/>
      <c r="AP337" s="4"/>
      <c r="AQ337" s="2"/>
      <c r="AR337" s="5"/>
      <c r="AS337" s="1"/>
      <c r="AT337" s="1"/>
      <c r="AU337" s="1"/>
      <c r="AV337" s="1"/>
      <c r="AW337" s="1"/>
      <c r="AX337" s="1"/>
      <c r="AY337" s="1"/>
      <c r="AZ337" s="1"/>
    </row>
    <row r="338" spans="27:52" x14ac:dyDescent="0.25">
      <c r="AA338" s="1"/>
      <c r="AB338" s="1"/>
      <c r="AC338" s="31"/>
      <c r="AD338" s="32"/>
      <c r="AE338" s="33">
        <f t="shared" si="29"/>
        <v>19</v>
      </c>
      <c r="AF338" s="41">
        <f t="shared" si="30"/>
        <v>-6</v>
      </c>
      <c r="AG338" s="42">
        <f t="shared" si="31"/>
        <v>0</v>
      </c>
      <c r="AH338" s="42">
        <f t="shared" si="32"/>
        <v>-6</v>
      </c>
      <c r="AI338" s="43">
        <f t="shared" si="33"/>
        <v>0.01</v>
      </c>
      <c r="AJ338" s="2"/>
      <c r="AK338" s="2"/>
      <c r="AL338" s="3"/>
      <c r="AM338" s="1"/>
      <c r="AN338" s="3"/>
      <c r="AO338" s="2"/>
      <c r="AP338" s="4"/>
      <c r="AQ338" s="2"/>
      <c r="AR338" s="5"/>
      <c r="AS338" s="1"/>
      <c r="AT338" s="1"/>
      <c r="AU338" s="1"/>
      <c r="AV338" s="1"/>
      <c r="AW338" s="1"/>
      <c r="AX338" s="1"/>
      <c r="AY338" s="1"/>
      <c r="AZ338" s="1"/>
    </row>
    <row r="339" spans="27:52" x14ac:dyDescent="0.25">
      <c r="AA339" s="1"/>
      <c r="AB339" s="1"/>
      <c r="AC339" s="31"/>
      <c r="AD339" s="32"/>
      <c r="AE339" s="33">
        <f t="shared" si="29"/>
        <v>19</v>
      </c>
      <c r="AF339" s="41">
        <f t="shared" si="30"/>
        <v>-6</v>
      </c>
      <c r="AG339" s="42">
        <f t="shared" si="31"/>
        <v>0</v>
      </c>
      <c r="AH339" s="42">
        <f t="shared" si="32"/>
        <v>-6</v>
      </c>
      <c r="AI339" s="43">
        <f t="shared" si="33"/>
        <v>0.01</v>
      </c>
      <c r="AJ339" s="2"/>
      <c r="AK339" s="2"/>
      <c r="AL339" s="3"/>
      <c r="AM339" s="1"/>
      <c r="AN339" s="3"/>
      <c r="AO339" s="2"/>
      <c r="AP339" s="4"/>
      <c r="AQ339" s="2"/>
      <c r="AR339" s="5"/>
      <c r="AS339" s="1"/>
      <c r="AT339" s="1"/>
      <c r="AU339" s="1"/>
      <c r="AV339" s="1"/>
      <c r="AW339" s="1"/>
      <c r="AX339" s="1"/>
      <c r="AY339" s="1"/>
      <c r="AZ339" s="1"/>
    </row>
    <row r="340" spans="27:52" x14ac:dyDescent="0.25">
      <c r="AA340" s="1"/>
      <c r="AB340" s="1"/>
      <c r="AC340" s="31"/>
      <c r="AD340" s="32"/>
      <c r="AE340" s="33">
        <f t="shared" si="29"/>
        <v>19</v>
      </c>
      <c r="AF340" s="41">
        <f t="shared" si="30"/>
        <v>-6</v>
      </c>
      <c r="AG340" s="42">
        <f t="shared" si="31"/>
        <v>0</v>
      </c>
      <c r="AH340" s="42">
        <f t="shared" si="32"/>
        <v>-6</v>
      </c>
      <c r="AI340" s="43">
        <f t="shared" si="33"/>
        <v>0.01</v>
      </c>
      <c r="AJ340" s="2"/>
      <c r="AK340" s="2"/>
      <c r="AL340" s="3"/>
      <c r="AM340" s="1"/>
      <c r="AN340" s="3"/>
      <c r="AO340" s="2"/>
      <c r="AP340" s="4"/>
      <c r="AQ340" s="2"/>
      <c r="AR340" s="5"/>
      <c r="AS340" s="1"/>
      <c r="AT340" s="1"/>
      <c r="AU340" s="1"/>
      <c r="AV340" s="1"/>
      <c r="AW340" s="1"/>
      <c r="AX340" s="1"/>
      <c r="AY340" s="1"/>
      <c r="AZ340" s="1"/>
    </row>
    <row r="341" spans="27:52" x14ac:dyDescent="0.25">
      <c r="AA341" s="1"/>
      <c r="AB341" s="1"/>
      <c r="AC341" s="31"/>
      <c r="AD341" s="32"/>
      <c r="AE341" s="33">
        <f t="shared" si="29"/>
        <v>19</v>
      </c>
      <c r="AF341" s="41">
        <f t="shared" si="30"/>
        <v>-6</v>
      </c>
      <c r="AG341" s="42">
        <f t="shared" si="31"/>
        <v>0</v>
      </c>
      <c r="AH341" s="42">
        <f t="shared" si="32"/>
        <v>-6</v>
      </c>
      <c r="AI341" s="43">
        <f t="shared" si="33"/>
        <v>0.01</v>
      </c>
      <c r="AJ341" s="2"/>
      <c r="AK341" s="2"/>
      <c r="AL341" s="3"/>
      <c r="AM341" s="1"/>
      <c r="AN341" s="3"/>
      <c r="AO341" s="2"/>
      <c r="AP341" s="4"/>
      <c r="AQ341" s="2"/>
      <c r="AR341" s="5"/>
      <c r="AS341" s="1"/>
      <c r="AT341" s="1"/>
      <c r="AU341" s="1"/>
      <c r="AV341" s="1"/>
      <c r="AW341" s="1"/>
      <c r="AX341" s="1"/>
      <c r="AY341" s="1"/>
      <c r="AZ341" s="1"/>
    </row>
    <row r="342" spans="27:52" x14ac:dyDescent="0.25">
      <c r="AA342" s="1"/>
      <c r="AB342" s="1"/>
      <c r="AC342" s="31"/>
      <c r="AD342" s="32"/>
      <c r="AE342" s="33">
        <f t="shared" si="29"/>
        <v>19</v>
      </c>
      <c r="AF342" s="41">
        <f t="shared" si="30"/>
        <v>-6</v>
      </c>
      <c r="AG342" s="42">
        <f t="shared" si="31"/>
        <v>0</v>
      </c>
      <c r="AH342" s="42">
        <f t="shared" si="32"/>
        <v>-6</v>
      </c>
      <c r="AI342" s="43">
        <f t="shared" si="33"/>
        <v>0.01</v>
      </c>
      <c r="AJ342" s="2"/>
      <c r="AK342" s="2"/>
      <c r="AL342" s="3"/>
      <c r="AM342" s="1"/>
      <c r="AN342" s="3"/>
      <c r="AO342" s="2"/>
      <c r="AP342" s="4"/>
      <c r="AQ342" s="2"/>
      <c r="AR342" s="5"/>
      <c r="AS342" s="1"/>
      <c r="AT342" s="1"/>
      <c r="AU342" s="1"/>
      <c r="AV342" s="1"/>
      <c r="AW342" s="1"/>
      <c r="AX342" s="1"/>
      <c r="AY342" s="1"/>
      <c r="AZ342" s="1"/>
    </row>
    <row r="343" spans="27:52" x14ac:dyDescent="0.25">
      <c r="AA343" s="1"/>
      <c r="AB343" s="1"/>
      <c r="AC343" s="31"/>
      <c r="AD343" s="32"/>
      <c r="AE343" s="33">
        <f t="shared" si="29"/>
        <v>19</v>
      </c>
      <c r="AF343" s="41">
        <f t="shared" si="30"/>
        <v>-6</v>
      </c>
      <c r="AG343" s="42">
        <f t="shared" si="31"/>
        <v>0</v>
      </c>
      <c r="AH343" s="42">
        <f t="shared" si="32"/>
        <v>-6</v>
      </c>
      <c r="AI343" s="43">
        <f t="shared" si="33"/>
        <v>0.01</v>
      </c>
      <c r="AJ343" s="2"/>
      <c r="AK343" s="2"/>
      <c r="AL343" s="3"/>
      <c r="AM343" s="1"/>
      <c r="AN343" s="3"/>
      <c r="AO343" s="2"/>
      <c r="AP343" s="4"/>
      <c r="AQ343" s="2"/>
      <c r="AR343" s="5"/>
      <c r="AS343" s="1"/>
      <c r="AT343" s="1"/>
      <c r="AU343" s="1"/>
      <c r="AV343" s="1"/>
      <c r="AW343" s="1"/>
      <c r="AX343" s="1"/>
      <c r="AY343" s="1"/>
      <c r="AZ343" s="1"/>
    </row>
    <row r="344" spans="27:52" x14ac:dyDescent="0.25">
      <c r="AA344" s="1"/>
      <c r="AB344" s="1"/>
      <c r="AC344" s="31"/>
      <c r="AD344" s="32"/>
      <c r="AE344" s="33">
        <f t="shared" si="29"/>
        <v>19</v>
      </c>
      <c r="AF344" s="41">
        <f t="shared" si="30"/>
        <v>-6</v>
      </c>
      <c r="AG344" s="42">
        <f t="shared" si="31"/>
        <v>0</v>
      </c>
      <c r="AH344" s="42">
        <f t="shared" si="32"/>
        <v>-6</v>
      </c>
      <c r="AI344" s="43">
        <f t="shared" si="33"/>
        <v>0.01</v>
      </c>
      <c r="AJ344" s="2"/>
      <c r="AK344" s="2"/>
      <c r="AL344" s="3"/>
      <c r="AM344" s="1"/>
      <c r="AN344" s="3"/>
      <c r="AO344" s="2"/>
      <c r="AP344" s="4"/>
      <c r="AQ344" s="2"/>
      <c r="AR344" s="5"/>
      <c r="AS344" s="1"/>
      <c r="AT344" s="1"/>
      <c r="AU344" s="1"/>
      <c r="AV344" s="1"/>
      <c r="AW344" s="1"/>
      <c r="AX344" s="1"/>
      <c r="AY344" s="1"/>
      <c r="AZ344" s="1"/>
    </row>
    <row r="345" spans="27:52" x14ac:dyDescent="0.25">
      <c r="AA345" s="1"/>
      <c r="AB345" s="1"/>
      <c r="AC345" s="31"/>
      <c r="AD345" s="32"/>
      <c r="AE345" s="33">
        <f t="shared" si="29"/>
        <v>19</v>
      </c>
      <c r="AF345" s="41">
        <f t="shared" si="30"/>
        <v>-6</v>
      </c>
      <c r="AG345" s="42">
        <f t="shared" si="31"/>
        <v>0</v>
      </c>
      <c r="AH345" s="42">
        <f t="shared" si="32"/>
        <v>-6</v>
      </c>
      <c r="AI345" s="43">
        <f t="shared" si="33"/>
        <v>0.01</v>
      </c>
      <c r="AJ345" s="2"/>
      <c r="AK345" s="2"/>
      <c r="AL345" s="3"/>
      <c r="AM345" s="1"/>
      <c r="AN345" s="3"/>
      <c r="AO345" s="2"/>
      <c r="AP345" s="4"/>
      <c r="AQ345" s="2"/>
      <c r="AR345" s="5"/>
      <c r="AS345" s="1"/>
      <c r="AT345" s="1"/>
      <c r="AU345" s="1"/>
      <c r="AV345" s="1"/>
      <c r="AW345" s="1"/>
      <c r="AX345" s="1"/>
      <c r="AY345" s="1"/>
      <c r="AZ345" s="1"/>
    </row>
    <row r="346" spans="27:52" x14ac:dyDescent="0.25">
      <c r="AA346" s="1"/>
      <c r="AB346" s="1"/>
      <c r="AC346" s="31"/>
      <c r="AD346" s="32"/>
      <c r="AE346" s="33">
        <f t="shared" si="29"/>
        <v>19</v>
      </c>
      <c r="AF346" s="41">
        <f t="shared" si="30"/>
        <v>-6</v>
      </c>
      <c r="AG346" s="42">
        <f t="shared" si="31"/>
        <v>0</v>
      </c>
      <c r="AH346" s="42">
        <f t="shared" si="32"/>
        <v>-6</v>
      </c>
      <c r="AI346" s="43">
        <f t="shared" si="33"/>
        <v>0.01</v>
      </c>
      <c r="AJ346" s="2"/>
      <c r="AK346" s="2"/>
      <c r="AL346" s="3"/>
      <c r="AM346" s="1"/>
      <c r="AN346" s="3"/>
      <c r="AO346" s="2"/>
      <c r="AP346" s="4"/>
      <c r="AQ346" s="2"/>
      <c r="AR346" s="5"/>
      <c r="AS346" s="1"/>
      <c r="AT346" s="1"/>
      <c r="AU346" s="1"/>
      <c r="AV346" s="1"/>
      <c r="AW346" s="1"/>
      <c r="AX346" s="1"/>
      <c r="AY346" s="1"/>
      <c r="AZ346" s="1"/>
    </row>
    <row r="347" spans="27:52" x14ac:dyDescent="0.25">
      <c r="AA347" s="1"/>
      <c r="AB347" s="1"/>
      <c r="AC347" s="31"/>
      <c r="AD347" s="32"/>
      <c r="AE347" s="33">
        <f t="shared" si="29"/>
        <v>19</v>
      </c>
      <c r="AF347" s="41">
        <f t="shared" si="30"/>
        <v>-6</v>
      </c>
      <c r="AG347" s="42">
        <f t="shared" si="31"/>
        <v>0</v>
      </c>
      <c r="AH347" s="42">
        <f t="shared" si="32"/>
        <v>-6</v>
      </c>
      <c r="AI347" s="43">
        <f t="shared" si="33"/>
        <v>0.01</v>
      </c>
      <c r="AJ347" s="2"/>
      <c r="AK347" s="2"/>
      <c r="AL347" s="3"/>
      <c r="AM347" s="1"/>
      <c r="AN347" s="3"/>
      <c r="AO347" s="2"/>
      <c r="AP347" s="4"/>
      <c r="AQ347" s="2"/>
      <c r="AR347" s="5"/>
      <c r="AS347" s="1"/>
      <c r="AT347" s="1"/>
      <c r="AU347" s="1"/>
      <c r="AV347" s="1"/>
      <c r="AW347" s="1"/>
      <c r="AX347" s="1"/>
      <c r="AY347" s="1"/>
      <c r="AZ347" s="1"/>
    </row>
    <row r="348" spans="27:52" x14ac:dyDescent="0.25">
      <c r="AA348" s="1"/>
      <c r="AB348" s="1"/>
      <c r="AC348" s="31"/>
      <c r="AD348" s="32"/>
      <c r="AE348" s="33">
        <f t="shared" si="29"/>
        <v>19</v>
      </c>
      <c r="AF348" s="41">
        <f t="shared" si="30"/>
        <v>-6</v>
      </c>
      <c r="AG348" s="42">
        <f t="shared" si="31"/>
        <v>0</v>
      </c>
      <c r="AH348" s="42">
        <f t="shared" si="32"/>
        <v>-6</v>
      </c>
      <c r="AI348" s="43">
        <f t="shared" si="33"/>
        <v>0.01</v>
      </c>
      <c r="AJ348" s="2"/>
      <c r="AK348" s="2"/>
      <c r="AL348" s="3"/>
      <c r="AM348" s="1"/>
      <c r="AN348" s="3"/>
      <c r="AO348" s="2"/>
      <c r="AP348" s="4"/>
      <c r="AQ348" s="2"/>
      <c r="AR348" s="5"/>
      <c r="AS348" s="1"/>
      <c r="AT348" s="1"/>
      <c r="AU348" s="1"/>
      <c r="AV348" s="1"/>
      <c r="AW348" s="1"/>
      <c r="AX348" s="1"/>
      <c r="AY348" s="1"/>
      <c r="AZ348" s="1"/>
    </row>
    <row r="349" spans="27:52" x14ac:dyDescent="0.25">
      <c r="AA349" s="1"/>
      <c r="AB349" s="1"/>
      <c r="AC349" s="31"/>
      <c r="AD349" s="32"/>
      <c r="AE349" s="33">
        <f t="shared" si="29"/>
        <v>19</v>
      </c>
      <c r="AF349" s="41">
        <f t="shared" si="30"/>
        <v>-6</v>
      </c>
      <c r="AG349" s="42">
        <f t="shared" si="31"/>
        <v>0</v>
      </c>
      <c r="AH349" s="42">
        <f t="shared" si="32"/>
        <v>-6</v>
      </c>
      <c r="AI349" s="43">
        <f t="shared" si="33"/>
        <v>0.01</v>
      </c>
      <c r="AJ349" s="2"/>
      <c r="AK349" s="2"/>
      <c r="AL349" s="3"/>
      <c r="AM349" s="1"/>
      <c r="AN349" s="3"/>
      <c r="AO349" s="2"/>
      <c r="AP349" s="4"/>
      <c r="AQ349" s="2"/>
      <c r="AR349" s="5"/>
      <c r="AS349" s="1"/>
      <c r="AT349" s="1"/>
      <c r="AU349" s="1"/>
      <c r="AV349" s="1"/>
      <c r="AW349" s="1"/>
      <c r="AX349" s="1"/>
      <c r="AY349" s="1"/>
      <c r="AZ349" s="1"/>
    </row>
    <row r="350" spans="27:52" x14ac:dyDescent="0.25">
      <c r="AA350" s="1"/>
      <c r="AB350" s="1"/>
      <c r="AC350" s="31"/>
      <c r="AD350" s="32"/>
      <c r="AE350" s="33">
        <f t="shared" si="29"/>
        <v>19</v>
      </c>
      <c r="AF350" s="41">
        <f t="shared" si="30"/>
        <v>-6</v>
      </c>
      <c r="AG350" s="42">
        <f t="shared" si="31"/>
        <v>0</v>
      </c>
      <c r="AH350" s="42">
        <f t="shared" si="32"/>
        <v>-6</v>
      </c>
      <c r="AI350" s="43">
        <f t="shared" si="33"/>
        <v>0.01</v>
      </c>
      <c r="AJ350" s="2"/>
      <c r="AK350" s="2"/>
      <c r="AL350" s="3"/>
      <c r="AM350" s="1"/>
      <c r="AN350" s="3"/>
      <c r="AO350" s="2"/>
      <c r="AP350" s="4"/>
      <c r="AQ350" s="2"/>
      <c r="AR350" s="5"/>
      <c r="AS350" s="1"/>
      <c r="AT350" s="1"/>
      <c r="AU350" s="1"/>
      <c r="AV350" s="1"/>
      <c r="AW350" s="1"/>
      <c r="AX350" s="1"/>
      <c r="AY350" s="1"/>
      <c r="AZ350" s="1"/>
    </row>
    <row r="351" spans="27:52" x14ac:dyDescent="0.25">
      <c r="AA351" s="1"/>
      <c r="AB351" s="1"/>
      <c r="AC351" s="31"/>
      <c r="AD351" s="32"/>
      <c r="AE351" s="33">
        <f t="shared" si="29"/>
        <v>19</v>
      </c>
      <c r="AF351" s="41">
        <f t="shared" si="30"/>
        <v>-6</v>
      </c>
      <c r="AG351" s="42">
        <f t="shared" si="31"/>
        <v>0</v>
      </c>
      <c r="AH351" s="42">
        <f t="shared" si="32"/>
        <v>-6</v>
      </c>
      <c r="AI351" s="43">
        <f t="shared" si="33"/>
        <v>0.01</v>
      </c>
      <c r="AJ351" s="2"/>
      <c r="AK351" s="2"/>
      <c r="AL351" s="3"/>
      <c r="AM351" s="1"/>
      <c r="AN351" s="3"/>
      <c r="AO351" s="2"/>
      <c r="AP351" s="4"/>
      <c r="AQ351" s="2"/>
      <c r="AR351" s="5"/>
      <c r="AS351" s="1"/>
      <c r="AT351" s="1"/>
      <c r="AU351" s="1"/>
      <c r="AV351" s="1"/>
      <c r="AW351" s="1"/>
      <c r="AX351" s="1"/>
      <c r="AY351" s="1"/>
      <c r="AZ351" s="1"/>
    </row>
    <row r="352" spans="27:52" x14ac:dyDescent="0.25">
      <c r="AA352" s="1"/>
      <c r="AB352" s="1"/>
      <c r="AC352" s="31"/>
      <c r="AD352" s="32"/>
      <c r="AE352" s="33">
        <f t="shared" si="29"/>
        <v>19</v>
      </c>
      <c r="AF352" s="41">
        <f t="shared" si="30"/>
        <v>-6</v>
      </c>
      <c r="AG352" s="42">
        <f t="shared" si="31"/>
        <v>0</v>
      </c>
      <c r="AH352" s="42">
        <f t="shared" si="32"/>
        <v>-6</v>
      </c>
      <c r="AI352" s="43">
        <f t="shared" si="33"/>
        <v>0.01</v>
      </c>
      <c r="AJ352" s="2"/>
      <c r="AK352" s="2"/>
      <c r="AL352" s="3"/>
      <c r="AM352" s="1"/>
      <c r="AN352" s="3"/>
      <c r="AO352" s="2"/>
      <c r="AP352" s="4"/>
      <c r="AQ352" s="2"/>
      <c r="AR352" s="5"/>
      <c r="AS352" s="1"/>
      <c r="AT352" s="1"/>
      <c r="AU352" s="1"/>
      <c r="AV352" s="1"/>
      <c r="AW352" s="1"/>
      <c r="AX352" s="1"/>
      <c r="AY352" s="1"/>
      <c r="AZ352" s="1"/>
    </row>
    <row r="353" spans="27:52" x14ac:dyDescent="0.25">
      <c r="AA353" s="1"/>
      <c r="AB353" s="1"/>
      <c r="AC353" s="31"/>
      <c r="AD353" s="32"/>
      <c r="AE353" s="33">
        <f t="shared" si="29"/>
        <v>19</v>
      </c>
      <c r="AF353" s="41">
        <f t="shared" si="30"/>
        <v>-6</v>
      </c>
      <c r="AG353" s="42">
        <f t="shared" si="31"/>
        <v>0</v>
      </c>
      <c r="AH353" s="42">
        <f t="shared" si="32"/>
        <v>-6</v>
      </c>
      <c r="AI353" s="43">
        <f t="shared" si="33"/>
        <v>0.01</v>
      </c>
      <c r="AJ353" s="2"/>
      <c r="AK353" s="2"/>
      <c r="AL353" s="3"/>
      <c r="AM353" s="1"/>
      <c r="AN353" s="3"/>
      <c r="AO353" s="2"/>
      <c r="AP353" s="4"/>
      <c r="AQ353" s="2"/>
      <c r="AR353" s="5"/>
      <c r="AS353" s="1"/>
      <c r="AT353" s="1"/>
      <c r="AU353" s="1"/>
      <c r="AV353" s="1"/>
      <c r="AW353" s="1"/>
      <c r="AX353" s="1"/>
      <c r="AY353" s="1"/>
      <c r="AZ353" s="1"/>
    </row>
    <row r="354" spans="27:52" x14ac:dyDescent="0.25">
      <c r="AA354" s="1"/>
      <c r="AB354" s="1"/>
      <c r="AC354" s="31"/>
      <c r="AD354" s="32"/>
      <c r="AE354" s="33">
        <f t="shared" si="29"/>
        <v>19</v>
      </c>
      <c r="AF354" s="41">
        <f t="shared" si="30"/>
        <v>-6</v>
      </c>
      <c r="AG354" s="42">
        <f t="shared" si="31"/>
        <v>0</v>
      </c>
      <c r="AH354" s="42">
        <f t="shared" si="32"/>
        <v>-6</v>
      </c>
      <c r="AI354" s="43">
        <f t="shared" si="33"/>
        <v>0.01</v>
      </c>
      <c r="AJ354" s="2"/>
      <c r="AK354" s="2"/>
      <c r="AL354" s="3"/>
      <c r="AM354" s="1"/>
      <c r="AN354" s="3"/>
      <c r="AO354" s="2"/>
      <c r="AP354" s="4"/>
      <c r="AQ354" s="2"/>
      <c r="AR354" s="5"/>
      <c r="AS354" s="1"/>
      <c r="AT354" s="1"/>
      <c r="AU354" s="1"/>
      <c r="AV354" s="1"/>
      <c r="AW354" s="1"/>
      <c r="AX354" s="1"/>
      <c r="AY354" s="1"/>
      <c r="AZ354" s="1"/>
    </row>
    <row r="355" spans="27:52" x14ac:dyDescent="0.25">
      <c r="AA355" s="1"/>
      <c r="AB355" s="1"/>
      <c r="AC355" s="31"/>
      <c r="AD355" s="32"/>
      <c r="AE355" s="33">
        <f t="shared" si="29"/>
        <v>19</v>
      </c>
      <c r="AF355" s="41">
        <f t="shared" si="30"/>
        <v>-6</v>
      </c>
      <c r="AG355" s="42">
        <f t="shared" si="31"/>
        <v>0</v>
      </c>
      <c r="AH355" s="42">
        <f t="shared" si="32"/>
        <v>-6</v>
      </c>
      <c r="AI355" s="43">
        <f t="shared" si="33"/>
        <v>0.01</v>
      </c>
      <c r="AJ355" s="2"/>
      <c r="AK355" s="2"/>
      <c r="AL355" s="3"/>
      <c r="AM355" s="1"/>
      <c r="AN355" s="3"/>
      <c r="AO355" s="2"/>
      <c r="AP355" s="4"/>
      <c r="AQ355" s="2"/>
      <c r="AR355" s="5"/>
      <c r="AS355" s="1"/>
      <c r="AT355" s="1"/>
      <c r="AU355" s="1"/>
      <c r="AV355" s="1"/>
      <c r="AW355" s="1"/>
      <c r="AX355" s="1"/>
      <c r="AY355" s="1"/>
      <c r="AZ355" s="1"/>
    </row>
    <row r="356" spans="27:52" x14ac:dyDescent="0.25">
      <c r="AA356" s="1"/>
      <c r="AB356" s="1"/>
      <c r="AC356" s="31"/>
      <c r="AD356" s="32"/>
      <c r="AE356" s="33">
        <f t="shared" si="29"/>
        <v>19</v>
      </c>
      <c r="AF356" s="41">
        <f t="shared" si="30"/>
        <v>-6</v>
      </c>
      <c r="AG356" s="42">
        <f t="shared" si="31"/>
        <v>0</v>
      </c>
      <c r="AH356" s="42">
        <f t="shared" si="32"/>
        <v>-6</v>
      </c>
      <c r="AI356" s="43">
        <f t="shared" si="33"/>
        <v>0.01</v>
      </c>
      <c r="AJ356" s="2"/>
      <c r="AK356" s="2"/>
      <c r="AL356" s="3"/>
      <c r="AM356" s="1"/>
      <c r="AN356" s="3"/>
      <c r="AO356" s="2"/>
      <c r="AP356" s="4"/>
      <c r="AQ356" s="2"/>
      <c r="AR356" s="5"/>
      <c r="AS356" s="1"/>
      <c r="AT356" s="1"/>
      <c r="AU356" s="1"/>
      <c r="AV356" s="1"/>
      <c r="AW356" s="1"/>
      <c r="AX356" s="1"/>
      <c r="AY356" s="1"/>
      <c r="AZ356" s="1"/>
    </row>
    <row r="357" spans="27:52" x14ac:dyDescent="0.25">
      <c r="AA357" s="1"/>
      <c r="AB357" s="1"/>
      <c r="AC357" s="31"/>
      <c r="AD357" s="32"/>
      <c r="AE357" s="33">
        <f t="shared" si="29"/>
        <v>19</v>
      </c>
      <c r="AF357" s="41">
        <f t="shared" si="30"/>
        <v>-6</v>
      </c>
      <c r="AG357" s="42">
        <f t="shared" si="31"/>
        <v>0</v>
      </c>
      <c r="AH357" s="42">
        <f t="shared" si="32"/>
        <v>-6</v>
      </c>
      <c r="AI357" s="43">
        <f t="shared" si="33"/>
        <v>0.01</v>
      </c>
      <c r="AJ357" s="2"/>
      <c r="AK357" s="2"/>
      <c r="AL357" s="3"/>
      <c r="AM357" s="1"/>
      <c r="AN357" s="3"/>
      <c r="AO357" s="2"/>
      <c r="AP357" s="4"/>
      <c r="AQ357" s="2"/>
      <c r="AR357" s="5"/>
      <c r="AS357" s="1"/>
      <c r="AT357" s="1"/>
      <c r="AU357" s="1"/>
      <c r="AV357" s="1"/>
      <c r="AW357" s="1"/>
      <c r="AX357" s="1"/>
      <c r="AY357" s="1"/>
      <c r="AZ357" s="1"/>
    </row>
    <row r="358" spans="27:52" x14ac:dyDescent="0.25">
      <c r="AA358" s="1"/>
      <c r="AB358" s="1"/>
      <c r="AC358" s="31"/>
      <c r="AD358" s="32"/>
      <c r="AE358" s="33">
        <f t="shared" si="29"/>
        <v>19</v>
      </c>
      <c r="AF358" s="41">
        <f t="shared" si="30"/>
        <v>-6</v>
      </c>
      <c r="AG358" s="42">
        <f t="shared" si="31"/>
        <v>0</v>
      </c>
      <c r="AH358" s="42">
        <f t="shared" si="32"/>
        <v>-6</v>
      </c>
      <c r="AI358" s="43">
        <f t="shared" si="33"/>
        <v>0.01</v>
      </c>
      <c r="AJ358" s="2"/>
      <c r="AK358" s="2"/>
      <c r="AL358" s="3"/>
      <c r="AM358" s="1"/>
      <c r="AN358" s="3"/>
      <c r="AO358" s="2"/>
      <c r="AP358" s="4"/>
      <c r="AQ358" s="2"/>
      <c r="AR358" s="5"/>
      <c r="AS358" s="1"/>
      <c r="AT358" s="1"/>
      <c r="AU358" s="1"/>
      <c r="AV358" s="1"/>
      <c r="AW358" s="1"/>
      <c r="AX358" s="1"/>
      <c r="AY358" s="1"/>
      <c r="AZ358" s="1"/>
    </row>
    <row r="359" spans="27:52" x14ac:dyDescent="0.25">
      <c r="AA359" s="1"/>
      <c r="AB359" s="1"/>
      <c r="AC359" s="31"/>
      <c r="AD359" s="32"/>
      <c r="AE359" s="33">
        <f t="shared" si="29"/>
        <v>19</v>
      </c>
      <c r="AF359" s="41">
        <f t="shared" si="30"/>
        <v>-6</v>
      </c>
      <c r="AG359" s="42">
        <f t="shared" si="31"/>
        <v>0</v>
      </c>
      <c r="AH359" s="42">
        <f t="shared" si="32"/>
        <v>-6</v>
      </c>
      <c r="AI359" s="43">
        <f t="shared" si="33"/>
        <v>0.01</v>
      </c>
      <c r="AJ359" s="2"/>
      <c r="AK359" s="2"/>
      <c r="AL359" s="3"/>
      <c r="AM359" s="1"/>
      <c r="AN359" s="3"/>
      <c r="AO359" s="2"/>
      <c r="AP359" s="4"/>
      <c r="AQ359" s="2"/>
      <c r="AR359" s="5"/>
      <c r="AS359" s="1"/>
      <c r="AT359" s="1"/>
      <c r="AU359" s="1"/>
      <c r="AV359" s="1"/>
      <c r="AW359" s="1"/>
      <c r="AX359" s="1"/>
      <c r="AY359" s="1"/>
      <c r="AZ359" s="1"/>
    </row>
    <row r="360" spans="27:52" x14ac:dyDescent="0.25">
      <c r="AA360" s="1"/>
      <c r="AB360" s="1"/>
      <c r="AC360" s="31"/>
      <c r="AD360" s="32"/>
      <c r="AE360" s="33">
        <f t="shared" si="29"/>
        <v>19</v>
      </c>
      <c r="AF360" s="41">
        <f t="shared" si="30"/>
        <v>-6</v>
      </c>
      <c r="AG360" s="42">
        <f t="shared" si="31"/>
        <v>0</v>
      </c>
      <c r="AH360" s="42">
        <f t="shared" si="32"/>
        <v>-6</v>
      </c>
      <c r="AI360" s="43">
        <f t="shared" si="33"/>
        <v>0.01</v>
      </c>
      <c r="AJ360" s="2"/>
      <c r="AK360" s="2"/>
      <c r="AL360" s="3"/>
      <c r="AM360" s="1"/>
      <c r="AN360" s="3"/>
      <c r="AO360" s="2"/>
      <c r="AP360" s="4"/>
      <c r="AQ360" s="2"/>
      <c r="AR360" s="5"/>
      <c r="AS360" s="1"/>
      <c r="AT360" s="1"/>
      <c r="AU360" s="1"/>
      <c r="AV360" s="1"/>
      <c r="AW360" s="1"/>
      <c r="AX360" s="1"/>
      <c r="AY360" s="1"/>
      <c r="AZ360" s="1"/>
    </row>
    <row r="361" spans="27:52" x14ac:dyDescent="0.25">
      <c r="AA361" s="1"/>
      <c r="AB361" s="1"/>
      <c r="AC361" s="31"/>
      <c r="AD361" s="32"/>
      <c r="AE361" s="33">
        <f t="shared" si="29"/>
        <v>19</v>
      </c>
      <c r="AF361" s="41">
        <f t="shared" si="30"/>
        <v>-6</v>
      </c>
      <c r="AG361" s="42">
        <f t="shared" si="31"/>
        <v>0</v>
      </c>
      <c r="AH361" s="42">
        <f t="shared" si="32"/>
        <v>-6</v>
      </c>
      <c r="AI361" s="43">
        <f t="shared" si="33"/>
        <v>0.01</v>
      </c>
      <c r="AJ361" s="2"/>
      <c r="AK361" s="2"/>
      <c r="AL361" s="3"/>
      <c r="AM361" s="1"/>
      <c r="AN361" s="3"/>
      <c r="AO361" s="2"/>
      <c r="AP361" s="4"/>
      <c r="AQ361" s="2"/>
      <c r="AR361" s="5"/>
      <c r="AS361" s="1"/>
      <c r="AT361" s="1"/>
      <c r="AU361" s="1"/>
      <c r="AV361" s="1"/>
      <c r="AW361" s="1"/>
      <c r="AX361" s="1"/>
      <c r="AY361" s="1"/>
      <c r="AZ361" s="1"/>
    </row>
    <row r="362" spans="27:52" x14ac:dyDescent="0.25">
      <c r="AA362" s="1"/>
      <c r="AB362" s="1"/>
      <c r="AC362" s="31"/>
      <c r="AD362" s="32"/>
      <c r="AE362" s="33">
        <f t="shared" si="29"/>
        <v>19</v>
      </c>
      <c r="AF362" s="41">
        <f t="shared" si="30"/>
        <v>-6</v>
      </c>
      <c r="AG362" s="42">
        <f t="shared" si="31"/>
        <v>0</v>
      </c>
      <c r="AH362" s="42">
        <f t="shared" si="32"/>
        <v>-6</v>
      </c>
      <c r="AI362" s="43">
        <f t="shared" si="33"/>
        <v>0.01</v>
      </c>
      <c r="AJ362" s="2"/>
      <c r="AK362" s="2"/>
      <c r="AL362" s="3"/>
      <c r="AM362" s="1"/>
      <c r="AN362" s="3"/>
      <c r="AO362" s="2"/>
      <c r="AP362" s="4"/>
      <c r="AQ362" s="2"/>
      <c r="AR362" s="5"/>
      <c r="AS362" s="1"/>
      <c r="AT362" s="1"/>
      <c r="AU362" s="1"/>
      <c r="AV362" s="1"/>
      <c r="AW362" s="1"/>
      <c r="AX362" s="1"/>
      <c r="AY362" s="1"/>
      <c r="AZ362" s="1"/>
    </row>
    <row r="363" spans="27:52" x14ac:dyDescent="0.25">
      <c r="AA363" s="1"/>
      <c r="AB363" s="1"/>
      <c r="AC363" s="31"/>
      <c r="AD363" s="32"/>
      <c r="AE363" s="33">
        <f t="shared" si="29"/>
        <v>19</v>
      </c>
      <c r="AF363" s="41">
        <f t="shared" si="30"/>
        <v>-6</v>
      </c>
      <c r="AG363" s="42">
        <f t="shared" si="31"/>
        <v>0</v>
      </c>
      <c r="AH363" s="42">
        <f t="shared" si="32"/>
        <v>-6</v>
      </c>
      <c r="AI363" s="43">
        <f t="shared" si="33"/>
        <v>0.01</v>
      </c>
      <c r="AJ363" s="2"/>
      <c r="AK363" s="2"/>
      <c r="AL363" s="3"/>
      <c r="AM363" s="1"/>
      <c r="AN363" s="3"/>
      <c r="AO363" s="2"/>
      <c r="AP363" s="4"/>
      <c r="AQ363" s="2"/>
      <c r="AR363" s="5"/>
      <c r="AS363" s="1"/>
      <c r="AT363" s="1"/>
      <c r="AU363" s="1"/>
      <c r="AV363" s="1"/>
      <c r="AW363" s="1"/>
      <c r="AX363" s="1"/>
      <c r="AY363" s="1"/>
      <c r="AZ363" s="1"/>
    </row>
    <row r="364" spans="27:52" x14ac:dyDescent="0.25">
      <c r="AA364" s="1"/>
      <c r="AB364" s="1"/>
      <c r="AC364" s="31"/>
      <c r="AD364" s="32"/>
      <c r="AE364" s="33">
        <f t="shared" si="29"/>
        <v>19</v>
      </c>
      <c r="AF364" s="41">
        <f t="shared" si="30"/>
        <v>-6</v>
      </c>
      <c r="AG364" s="42">
        <f t="shared" si="31"/>
        <v>0</v>
      </c>
      <c r="AH364" s="42">
        <f t="shared" si="32"/>
        <v>-6</v>
      </c>
      <c r="AI364" s="43">
        <f t="shared" si="33"/>
        <v>0.01</v>
      </c>
      <c r="AJ364" s="2"/>
      <c r="AK364" s="2"/>
      <c r="AL364" s="3"/>
      <c r="AM364" s="1"/>
      <c r="AN364" s="3"/>
      <c r="AO364" s="2"/>
      <c r="AP364" s="4"/>
      <c r="AQ364" s="2"/>
      <c r="AR364" s="5"/>
      <c r="AS364" s="1"/>
      <c r="AT364" s="1"/>
      <c r="AU364" s="1"/>
      <c r="AV364" s="1"/>
      <c r="AW364" s="1"/>
      <c r="AX364" s="1"/>
      <c r="AY364" s="1"/>
      <c r="AZ364" s="1"/>
    </row>
    <row r="365" spans="27:52" x14ac:dyDescent="0.25">
      <c r="AA365" s="1"/>
      <c r="AB365" s="1"/>
      <c r="AC365" s="31"/>
      <c r="AD365" s="32"/>
      <c r="AE365" s="33">
        <f t="shared" si="29"/>
        <v>19</v>
      </c>
      <c r="AF365" s="41">
        <f t="shared" si="30"/>
        <v>-6</v>
      </c>
      <c r="AG365" s="42">
        <f t="shared" si="31"/>
        <v>0</v>
      </c>
      <c r="AH365" s="42">
        <f t="shared" si="32"/>
        <v>-6</v>
      </c>
      <c r="AI365" s="43">
        <f t="shared" si="33"/>
        <v>0.01</v>
      </c>
      <c r="AJ365" s="2"/>
      <c r="AK365" s="2"/>
      <c r="AL365" s="3"/>
      <c r="AM365" s="1"/>
      <c r="AN365" s="3"/>
      <c r="AO365" s="2"/>
      <c r="AP365" s="4"/>
      <c r="AQ365" s="2"/>
      <c r="AR365" s="5"/>
      <c r="AS365" s="1"/>
      <c r="AT365" s="1"/>
      <c r="AU365" s="1"/>
      <c r="AV365" s="1"/>
      <c r="AW365" s="1"/>
      <c r="AX365" s="1"/>
      <c r="AY365" s="1"/>
      <c r="AZ365" s="1"/>
    </row>
    <row r="366" spans="27:52" x14ac:dyDescent="0.25">
      <c r="AA366" s="1"/>
      <c r="AB366" s="1"/>
      <c r="AC366" s="31"/>
      <c r="AD366" s="32"/>
      <c r="AE366" s="33">
        <f t="shared" si="29"/>
        <v>19</v>
      </c>
      <c r="AF366" s="41">
        <f t="shared" si="30"/>
        <v>-6</v>
      </c>
      <c r="AG366" s="42">
        <f t="shared" si="31"/>
        <v>0</v>
      </c>
      <c r="AH366" s="42">
        <f t="shared" si="32"/>
        <v>-6</v>
      </c>
      <c r="AI366" s="43">
        <f t="shared" si="33"/>
        <v>0.01</v>
      </c>
      <c r="AJ366" s="2"/>
      <c r="AK366" s="2"/>
      <c r="AL366" s="3"/>
      <c r="AM366" s="1"/>
      <c r="AN366" s="3"/>
      <c r="AO366" s="2"/>
      <c r="AP366" s="4"/>
      <c r="AQ366" s="2"/>
      <c r="AR366" s="5"/>
      <c r="AS366" s="1"/>
      <c r="AT366" s="1"/>
      <c r="AU366" s="1"/>
      <c r="AV366" s="1"/>
      <c r="AW366" s="1"/>
      <c r="AX366" s="1"/>
      <c r="AY366" s="1"/>
      <c r="AZ366" s="1"/>
    </row>
    <row r="367" spans="27:52" x14ac:dyDescent="0.25">
      <c r="AA367" s="1"/>
      <c r="AB367" s="1"/>
      <c r="AC367" s="31"/>
      <c r="AD367" s="32"/>
      <c r="AE367" s="33">
        <f t="shared" si="29"/>
        <v>19</v>
      </c>
      <c r="AF367" s="41">
        <f t="shared" si="30"/>
        <v>-6</v>
      </c>
      <c r="AG367" s="42">
        <f t="shared" si="31"/>
        <v>0</v>
      </c>
      <c r="AH367" s="42">
        <f t="shared" si="32"/>
        <v>-6</v>
      </c>
      <c r="AI367" s="43">
        <f t="shared" si="33"/>
        <v>0.01</v>
      </c>
      <c r="AJ367" s="2"/>
      <c r="AK367" s="2"/>
      <c r="AL367" s="3"/>
      <c r="AM367" s="1"/>
      <c r="AN367" s="3"/>
      <c r="AO367" s="2"/>
      <c r="AP367" s="4"/>
      <c r="AQ367" s="2"/>
      <c r="AR367" s="5"/>
      <c r="AS367" s="1"/>
      <c r="AT367" s="1"/>
      <c r="AU367" s="1"/>
      <c r="AV367" s="1"/>
      <c r="AW367" s="1"/>
      <c r="AX367" s="1"/>
      <c r="AY367" s="1"/>
      <c r="AZ367" s="1"/>
    </row>
    <row r="368" spans="27:52" x14ac:dyDescent="0.25">
      <c r="AA368" s="1"/>
      <c r="AB368" s="1"/>
      <c r="AC368" s="31"/>
      <c r="AD368" s="32"/>
      <c r="AE368" s="33">
        <f t="shared" si="29"/>
        <v>19</v>
      </c>
      <c r="AF368" s="41">
        <f t="shared" si="30"/>
        <v>-6</v>
      </c>
      <c r="AG368" s="42">
        <f t="shared" si="31"/>
        <v>0</v>
      </c>
      <c r="AH368" s="42">
        <f t="shared" si="32"/>
        <v>-6</v>
      </c>
      <c r="AI368" s="43">
        <f t="shared" si="33"/>
        <v>0.01</v>
      </c>
      <c r="AJ368" s="2"/>
      <c r="AK368" s="2"/>
      <c r="AL368" s="3"/>
      <c r="AM368" s="1"/>
      <c r="AN368" s="3"/>
      <c r="AO368" s="2"/>
      <c r="AP368" s="4"/>
      <c r="AQ368" s="2"/>
      <c r="AR368" s="5"/>
      <c r="AS368" s="1"/>
      <c r="AT368" s="1"/>
      <c r="AU368" s="1"/>
      <c r="AV368" s="1"/>
      <c r="AW368" s="1"/>
      <c r="AX368" s="1"/>
      <c r="AY368" s="1"/>
      <c r="AZ368" s="1"/>
    </row>
    <row r="369" spans="27:52" x14ac:dyDescent="0.25">
      <c r="AA369" s="1"/>
      <c r="AB369" s="1"/>
      <c r="AC369" s="31"/>
      <c r="AD369" s="32"/>
      <c r="AE369" s="33">
        <f t="shared" si="29"/>
        <v>19</v>
      </c>
      <c r="AF369" s="41">
        <f t="shared" si="30"/>
        <v>-6</v>
      </c>
      <c r="AG369" s="42">
        <f t="shared" si="31"/>
        <v>0</v>
      </c>
      <c r="AH369" s="42">
        <f t="shared" si="32"/>
        <v>-6</v>
      </c>
      <c r="AI369" s="43">
        <f t="shared" si="33"/>
        <v>0.01</v>
      </c>
      <c r="AJ369" s="2"/>
      <c r="AK369" s="2"/>
      <c r="AL369" s="3"/>
      <c r="AM369" s="1"/>
      <c r="AN369" s="3"/>
      <c r="AO369" s="2"/>
      <c r="AP369" s="4"/>
      <c r="AQ369" s="2"/>
      <c r="AR369" s="5"/>
      <c r="AS369" s="1"/>
      <c r="AT369" s="1"/>
      <c r="AU369" s="1"/>
      <c r="AV369" s="1"/>
      <c r="AW369" s="1"/>
      <c r="AX369" s="1"/>
      <c r="AY369" s="1"/>
      <c r="AZ369" s="1"/>
    </row>
    <row r="370" spans="27:52" x14ac:dyDescent="0.25">
      <c r="AA370" s="1"/>
      <c r="AB370" s="1"/>
      <c r="AC370" s="31"/>
      <c r="AD370" s="32"/>
      <c r="AE370" s="33">
        <f t="shared" si="29"/>
        <v>19</v>
      </c>
      <c r="AF370" s="41">
        <f t="shared" si="30"/>
        <v>-6</v>
      </c>
      <c r="AG370" s="42">
        <f t="shared" si="31"/>
        <v>0</v>
      </c>
      <c r="AH370" s="42">
        <f t="shared" si="32"/>
        <v>-6</v>
      </c>
      <c r="AI370" s="43">
        <f t="shared" si="33"/>
        <v>0.01</v>
      </c>
      <c r="AJ370" s="2"/>
      <c r="AK370" s="2"/>
      <c r="AL370" s="3"/>
      <c r="AM370" s="1"/>
      <c r="AN370" s="3"/>
      <c r="AO370" s="2"/>
      <c r="AP370" s="4"/>
      <c r="AQ370" s="2"/>
      <c r="AR370" s="5"/>
      <c r="AS370" s="1"/>
      <c r="AT370" s="1"/>
      <c r="AU370" s="1"/>
      <c r="AV370" s="1"/>
      <c r="AW370" s="1"/>
      <c r="AX370" s="1"/>
      <c r="AY370" s="1"/>
      <c r="AZ370" s="1"/>
    </row>
    <row r="371" spans="27:52" x14ac:dyDescent="0.25">
      <c r="AA371" s="1"/>
      <c r="AB371" s="1"/>
      <c r="AC371" s="31"/>
      <c r="AD371" s="32"/>
      <c r="AE371" s="33">
        <f t="shared" si="29"/>
        <v>19</v>
      </c>
      <c r="AF371" s="41">
        <f t="shared" si="30"/>
        <v>-6</v>
      </c>
      <c r="AG371" s="42">
        <f t="shared" si="31"/>
        <v>0</v>
      </c>
      <c r="AH371" s="42">
        <f t="shared" si="32"/>
        <v>-6</v>
      </c>
      <c r="AI371" s="43">
        <f t="shared" si="33"/>
        <v>0.01</v>
      </c>
      <c r="AJ371" s="2"/>
      <c r="AK371" s="2"/>
      <c r="AL371" s="3"/>
      <c r="AM371" s="1"/>
      <c r="AN371" s="3"/>
      <c r="AO371" s="2"/>
      <c r="AP371" s="4"/>
      <c r="AQ371" s="2"/>
      <c r="AR371" s="5"/>
      <c r="AS371" s="1"/>
      <c r="AT371" s="1"/>
      <c r="AU371" s="1"/>
      <c r="AV371" s="1"/>
      <c r="AW371" s="1"/>
      <c r="AX371" s="1"/>
      <c r="AY371" s="1"/>
      <c r="AZ371" s="1"/>
    </row>
    <row r="372" spans="27:52" x14ac:dyDescent="0.25">
      <c r="AA372" s="1"/>
      <c r="AB372" s="1"/>
      <c r="AC372" s="31"/>
      <c r="AD372" s="32"/>
      <c r="AE372" s="33">
        <f t="shared" si="29"/>
        <v>19</v>
      </c>
      <c r="AF372" s="41">
        <f t="shared" si="30"/>
        <v>-6</v>
      </c>
      <c r="AG372" s="42">
        <f t="shared" si="31"/>
        <v>0</v>
      </c>
      <c r="AH372" s="42">
        <f t="shared" si="32"/>
        <v>-6</v>
      </c>
      <c r="AI372" s="43">
        <f t="shared" si="33"/>
        <v>0.01</v>
      </c>
      <c r="AJ372" s="2"/>
      <c r="AK372" s="2"/>
      <c r="AL372" s="3"/>
      <c r="AM372" s="1"/>
      <c r="AN372" s="3"/>
      <c r="AO372" s="2"/>
      <c r="AP372" s="4"/>
      <c r="AQ372" s="2"/>
      <c r="AR372" s="5"/>
      <c r="AS372" s="1"/>
      <c r="AT372" s="1"/>
      <c r="AU372" s="1"/>
      <c r="AV372" s="1"/>
      <c r="AW372" s="1"/>
      <c r="AX372" s="1"/>
      <c r="AY372" s="1"/>
      <c r="AZ372" s="1"/>
    </row>
    <row r="373" spans="27:52" x14ac:dyDescent="0.25">
      <c r="AA373" s="1"/>
      <c r="AB373" s="1"/>
      <c r="AC373" s="31"/>
      <c r="AD373" s="32"/>
      <c r="AE373" s="33">
        <f t="shared" si="29"/>
        <v>19</v>
      </c>
      <c r="AF373" s="41">
        <f t="shared" si="30"/>
        <v>-6</v>
      </c>
      <c r="AG373" s="42">
        <f t="shared" si="31"/>
        <v>0</v>
      </c>
      <c r="AH373" s="42">
        <f t="shared" si="32"/>
        <v>-6</v>
      </c>
      <c r="AI373" s="43">
        <f t="shared" si="33"/>
        <v>0.01</v>
      </c>
      <c r="AJ373" s="2"/>
      <c r="AK373" s="2"/>
      <c r="AL373" s="3"/>
      <c r="AM373" s="1"/>
      <c r="AN373" s="3"/>
      <c r="AO373" s="2"/>
      <c r="AP373" s="4"/>
      <c r="AQ373" s="2"/>
      <c r="AR373" s="5"/>
      <c r="AS373" s="1"/>
      <c r="AT373" s="1"/>
      <c r="AU373" s="1"/>
      <c r="AV373" s="1"/>
      <c r="AW373" s="1"/>
      <c r="AX373" s="1"/>
      <c r="AY373" s="1"/>
      <c r="AZ373" s="1"/>
    </row>
    <row r="374" spans="27:52" x14ac:dyDescent="0.25">
      <c r="AA374" s="1"/>
      <c r="AB374" s="1"/>
      <c r="AC374" s="31"/>
      <c r="AD374" s="32"/>
      <c r="AE374" s="33">
        <f t="shared" si="29"/>
        <v>19</v>
      </c>
      <c r="AF374" s="41">
        <f t="shared" si="30"/>
        <v>-6</v>
      </c>
      <c r="AG374" s="42">
        <f t="shared" si="31"/>
        <v>0</v>
      </c>
      <c r="AH374" s="42">
        <f t="shared" si="32"/>
        <v>-6</v>
      </c>
      <c r="AI374" s="43">
        <f t="shared" si="33"/>
        <v>0.01</v>
      </c>
      <c r="AJ374" s="2"/>
      <c r="AK374" s="2"/>
      <c r="AL374" s="3"/>
      <c r="AM374" s="1"/>
      <c r="AN374" s="3"/>
      <c r="AO374" s="2"/>
      <c r="AP374" s="4"/>
      <c r="AQ374" s="2"/>
      <c r="AR374" s="5"/>
      <c r="AS374" s="1"/>
      <c r="AT374" s="1"/>
      <c r="AU374" s="1"/>
      <c r="AV374" s="1"/>
      <c r="AW374" s="1"/>
      <c r="AX374" s="1"/>
      <c r="AY374" s="1"/>
      <c r="AZ374" s="1"/>
    </row>
    <row r="375" spans="27:52" x14ac:dyDescent="0.25">
      <c r="AA375" s="1"/>
      <c r="AB375" s="1"/>
      <c r="AC375" s="31"/>
      <c r="AD375" s="32"/>
      <c r="AE375" s="33">
        <f t="shared" si="29"/>
        <v>19</v>
      </c>
      <c r="AF375" s="41">
        <f t="shared" si="30"/>
        <v>-6</v>
      </c>
      <c r="AG375" s="42">
        <f t="shared" si="31"/>
        <v>0</v>
      </c>
      <c r="AH375" s="42">
        <f t="shared" si="32"/>
        <v>-6</v>
      </c>
      <c r="AI375" s="43">
        <f t="shared" si="33"/>
        <v>0.01</v>
      </c>
      <c r="AJ375" s="2"/>
      <c r="AK375" s="2"/>
      <c r="AL375" s="3"/>
      <c r="AM375" s="1"/>
      <c r="AN375" s="3"/>
      <c r="AO375" s="2"/>
      <c r="AP375" s="4"/>
      <c r="AQ375" s="2"/>
      <c r="AR375" s="5"/>
      <c r="AS375" s="1"/>
      <c r="AT375" s="1"/>
      <c r="AU375" s="1"/>
      <c r="AV375" s="1"/>
      <c r="AW375" s="1"/>
      <c r="AX375" s="1"/>
      <c r="AY375" s="1"/>
      <c r="AZ375" s="1"/>
    </row>
    <row r="376" spans="27:52" x14ac:dyDescent="0.25">
      <c r="AA376" s="1"/>
      <c r="AB376" s="1"/>
      <c r="AC376" s="31"/>
      <c r="AD376" s="32"/>
      <c r="AE376" s="33">
        <f t="shared" si="29"/>
        <v>19</v>
      </c>
      <c r="AF376" s="41">
        <f t="shared" si="30"/>
        <v>-6</v>
      </c>
      <c r="AG376" s="42">
        <f t="shared" si="31"/>
        <v>0</v>
      </c>
      <c r="AH376" s="42">
        <f t="shared" si="32"/>
        <v>-6</v>
      </c>
      <c r="AI376" s="43">
        <f t="shared" si="33"/>
        <v>0.01</v>
      </c>
      <c r="AJ376" s="2"/>
      <c r="AK376" s="2"/>
      <c r="AL376" s="3"/>
      <c r="AM376" s="1"/>
      <c r="AN376" s="3"/>
      <c r="AO376" s="2"/>
      <c r="AP376" s="4"/>
      <c r="AQ376" s="2"/>
      <c r="AR376" s="5"/>
      <c r="AS376" s="1"/>
      <c r="AT376" s="1"/>
      <c r="AU376" s="1"/>
      <c r="AV376" s="1"/>
      <c r="AW376" s="1"/>
      <c r="AX376" s="1"/>
      <c r="AY376" s="1"/>
      <c r="AZ376" s="1"/>
    </row>
    <row r="377" spans="27:52" x14ac:dyDescent="0.25">
      <c r="AA377" s="1"/>
      <c r="AB377" s="1"/>
      <c r="AC377" s="31"/>
      <c r="AD377" s="32"/>
      <c r="AE377" s="33">
        <f t="shared" si="29"/>
        <v>19</v>
      </c>
      <c r="AF377" s="41">
        <f t="shared" si="30"/>
        <v>-6</v>
      </c>
      <c r="AG377" s="42">
        <f t="shared" si="31"/>
        <v>0</v>
      </c>
      <c r="AH377" s="42">
        <f t="shared" si="32"/>
        <v>-6</v>
      </c>
      <c r="AI377" s="43">
        <f t="shared" si="33"/>
        <v>0.01</v>
      </c>
      <c r="AJ377" s="2"/>
      <c r="AK377" s="2"/>
      <c r="AL377" s="3"/>
      <c r="AM377" s="1"/>
      <c r="AN377" s="3"/>
      <c r="AO377" s="2"/>
      <c r="AP377" s="4"/>
      <c r="AQ377" s="2"/>
      <c r="AR377" s="5"/>
      <c r="AS377" s="1"/>
      <c r="AT377" s="1"/>
      <c r="AU377" s="1"/>
      <c r="AV377" s="1"/>
      <c r="AW377" s="1"/>
      <c r="AX377" s="1"/>
      <c r="AY377" s="1"/>
      <c r="AZ377" s="1"/>
    </row>
    <row r="378" spans="27:52" x14ac:dyDescent="0.25">
      <c r="AA378" s="1"/>
      <c r="AB378" s="1"/>
      <c r="AC378" s="31"/>
      <c r="AD378" s="32"/>
      <c r="AE378" s="33">
        <f t="shared" si="29"/>
        <v>19</v>
      </c>
      <c r="AF378" s="41">
        <f t="shared" si="30"/>
        <v>-6</v>
      </c>
      <c r="AG378" s="42">
        <f t="shared" si="31"/>
        <v>0</v>
      </c>
      <c r="AH378" s="42">
        <f t="shared" si="32"/>
        <v>-6</v>
      </c>
      <c r="AI378" s="43">
        <f t="shared" si="33"/>
        <v>0.01</v>
      </c>
      <c r="AJ378" s="2"/>
      <c r="AK378" s="2"/>
      <c r="AL378" s="3"/>
      <c r="AM378" s="1"/>
      <c r="AN378" s="3"/>
      <c r="AO378" s="2"/>
      <c r="AP378" s="4"/>
      <c r="AQ378" s="2"/>
      <c r="AR378" s="5"/>
      <c r="AS378" s="1"/>
      <c r="AT378" s="1"/>
      <c r="AU378" s="1"/>
      <c r="AV378" s="1"/>
      <c r="AW378" s="1"/>
      <c r="AX378" s="1"/>
      <c r="AY378" s="1"/>
      <c r="AZ378" s="1"/>
    </row>
    <row r="379" spans="27:52" x14ac:dyDescent="0.25">
      <c r="AA379" s="1"/>
      <c r="AB379" s="1"/>
      <c r="AC379" s="31"/>
      <c r="AD379" s="32"/>
      <c r="AE379" s="33">
        <f t="shared" si="29"/>
        <v>19</v>
      </c>
      <c r="AF379" s="41">
        <f t="shared" si="30"/>
        <v>-6</v>
      </c>
      <c r="AG379" s="42">
        <f t="shared" si="31"/>
        <v>0</v>
      </c>
      <c r="AH379" s="42">
        <f t="shared" si="32"/>
        <v>-6</v>
      </c>
      <c r="AI379" s="43">
        <f t="shared" si="33"/>
        <v>0.01</v>
      </c>
      <c r="AJ379" s="2"/>
      <c r="AK379" s="2"/>
      <c r="AL379" s="3"/>
      <c r="AM379" s="1"/>
      <c r="AN379" s="3"/>
      <c r="AO379" s="2"/>
      <c r="AP379" s="4"/>
      <c r="AQ379" s="2"/>
      <c r="AR379" s="5"/>
      <c r="AS379" s="1"/>
      <c r="AT379" s="1"/>
      <c r="AU379" s="1"/>
      <c r="AV379" s="1"/>
      <c r="AW379" s="1"/>
      <c r="AX379" s="1"/>
      <c r="AY379" s="1"/>
      <c r="AZ379" s="1"/>
    </row>
    <row r="380" spans="27:52" x14ac:dyDescent="0.25">
      <c r="AA380" s="1"/>
      <c r="AB380" s="1"/>
      <c r="AC380" s="31"/>
      <c r="AD380" s="32"/>
      <c r="AE380" s="33">
        <f t="shared" si="29"/>
        <v>19</v>
      </c>
      <c r="AF380" s="41">
        <f t="shared" si="30"/>
        <v>-6</v>
      </c>
      <c r="AG380" s="42">
        <f t="shared" si="31"/>
        <v>0</v>
      </c>
      <c r="AH380" s="42">
        <f t="shared" si="32"/>
        <v>-6</v>
      </c>
      <c r="AI380" s="43">
        <f t="shared" si="33"/>
        <v>0.01</v>
      </c>
      <c r="AJ380" s="2"/>
      <c r="AK380" s="2"/>
      <c r="AL380" s="3"/>
      <c r="AM380" s="1"/>
      <c r="AN380" s="3"/>
      <c r="AO380" s="2"/>
      <c r="AP380" s="4"/>
      <c r="AQ380" s="2"/>
      <c r="AR380" s="5"/>
      <c r="AS380" s="1"/>
      <c r="AT380" s="1"/>
      <c r="AU380" s="1"/>
      <c r="AV380" s="1"/>
      <c r="AW380" s="1"/>
      <c r="AX380" s="1"/>
      <c r="AY380" s="1"/>
      <c r="AZ380" s="1"/>
    </row>
    <row r="381" spans="27:52" x14ac:dyDescent="0.25">
      <c r="AA381" s="1"/>
      <c r="AB381" s="1"/>
      <c r="AC381" s="31"/>
      <c r="AD381" s="32"/>
      <c r="AE381" s="33">
        <f t="shared" si="29"/>
        <v>19</v>
      </c>
      <c r="AF381" s="41">
        <f t="shared" si="30"/>
        <v>-6</v>
      </c>
      <c r="AG381" s="42">
        <f t="shared" si="31"/>
        <v>0</v>
      </c>
      <c r="AH381" s="42">
        <f t="shared" si="32"/>
        <v>-6</v>
      </c>
      <c r="AI381" s="43">
        <f t="shared" si="33"/>
        <v>0.01</v>
      </c>
      <c r="AJ381" s="2"/>
      <c r="AK381" s="2"/>
      <c r="AL381" s="3"/>
      <c r="AM381" s="1"/>
      <c r="AN381" s="3"/>
      <c r="AO381" s="2"/>
      <c r="AP381" s="4"/>
      <c r="AQ381" s="2"/>
      <c r="AR381" s="5"/>
      <c r="AS381" s="1"/>
      <c r="AT381" s="1"/>
      <c r="AU381" s="1"/>
      <c r="AV381" s="1"/>
      <c r="AW381" s="1"/>
      <c r="AX381" s="1"/>
      <c r="AY381" s="1"/>
      <c r="AZ381" s="1"/>
    </row>
    <row r="382" spans="27:52" x14ac:dyDescent="0.25">
      <c r="AA382" s="1"/>
      <c r="AB382" s="1"/>
      <c r="AC382" s="31"/>
      <c r="AD382" s="32"/>
      <c r="AE382" s="33">
        <f t="shared" si="29"/>
        <v>19</v>
      </c>
      <c r="AF382" s="41">
        <f t="shared" si="30"/>
        <v>-6</v>
      </c>
      <c r="AG382" s="42">
        <f t="shared" si="31"/>
        <v>0</v>
      </c>
      <c r="AH382" s="42">
        <f t="shared" si="32"/>
        <v>-6</v>
      </c>
      <c r="AI382" s="43">
        <f t="shared" si="33"/>
        <v>0.01</v>
      </c>
      <c r="AJ382" s="2"/>
      <c r="AK382" s="2"/>
      <c r="AL382" s="3"/>
      <c r="AM382" s="1"/>
      <c r="AN382" s="3"/>
      <c r="AO382" s="2"/>
      <c r="AP382" s="4"/>
      <c r="AQ382" s="2"/>
      <c r="AR382" s="5"/>
      <c r="AS382" s="1"/>
      <c r="AT382" s="1"/>
      <c r="AU382" s="1"/>
      <c r="AV382" s="1"/>
      <c r="AW382" s="1"/>
      <c r="AX382" s="1"/>
      <c r="AY382" s="1"/>
      <c r="AZ382" s="1"/>
    </row>
    <row r="383" spans="27:52" x14ac:dyDescent="0.25">
      <c r="AA383" s="1"/>
      <c r="AB383" s="1"/>
      <c r="AC383" s="31"/>
      <c r="AD383" s="32"/>
      <c r="AE383" s="33">
        <f t="shared" si="29"/>
        <v>19</v>
      </c>
      <c r="AF383" s="41">
        <f t="shared" si="30"/>
        <v>-6</v>
      </c>
      <c r="AG383" s="42">
        <f t="shared" si="31"/>
        <v>0</v>
      </c>
      <c r="AH383" s="42">
        <f t="shared" si="32"/>
        <v>-6</v>
      </c>
      <c r="AI383" s="43">
        <f t="shared" si="33"/>
        <v>0.01</v>
      </c>
      <c r="AJ383" s="2"/>
      <c r="AK383" s="2"/>
      <c r="AL383" s="3"/>
      <c r="AM383" s="1"/>
      <c r="AN383" s="3"/>
      <c r="AO383" s="2"/>
      <c r="AP383" s="4"/>
      <c r="AQ383" s="2"/>
      <c r="AR383" s="5"/>
      <c r="AS383" s="1"/>
      <c r="AT383" s="1"/>
      <c r="AU383" s="1"/>
      <c r="AV383" s="1"/>
      <c r="AW383" s="1"/>
      <c r="AX383" s="1"/>
      <c r="AY383" s="1"/>
      <c r="AZ383" s="1"/>
    </row>
    <row r="384" spans="27:52" x14ac:dyDescent="0.25">
      <c r="AA384" s="1"/>
      <c r="AB384" s="1"/>
      <c r="AC384" s="31"/>
      <c r="AD384" s="32"/>
      <c r="AE384" s="33">
        <f t="shared" si="29"/>
        <v>19</v>
      </c>
      <c r="AF384" s="41">
        <f t="shared" si="30"/>
        <v>-6</v>
      </c>
      <c r="AG384" s="42">
        <f t="shared" si="31"/>
        <v>0</v>
      </c>
      <c r="AH384" s="42">
        <f t="shared" si="32"/>
        <v>-6</v>
      </c>
      <c r="AI384" s="43">
        <f t="shared" si="33"/>
        <v>0.01</v>
      </c>
      <c r="AJ384" s="2"/>
      <c r="AK384" s="2"/>
      <c r="AL384" s="3"/>
      <c r="AM384" s="1"/>
      <c r="AN384" s="3"/>
      <c r="AO384" s="2"/>
      <c r="AP384" s="4"/>
      <c r="AQ384" s="2"/>
      <c r="AR384" s="5"/>
      <c r="AS384" s="1"/>
      <c r="AT384" s="1"/>
      <c r="AU384" s="1"/>
      <c r="AV384" s="1"/>
      <c r="AW384" s="1"/>
      <c r="AX384" s="1"/>
      <c r="AY384" s="1"/>
      <c r="AZ384" s="1"/>
    </row>
    <row r="385" spans="27:52" x14ac:dyDescent="0.25">
      <c r="AA385" s="1"/>
      <c r="AB385" s="1"/>
      <c r="AC385" s="31"/>
      <c r="AD385" s="32"/>
      <c r="AE385" s="33">
        <f t="shared" si="29"/>
        <v>19</v>
      </c>
      <c r="AF385" s="41">
        <f t="shared" si="30"/>
        <v>-6</v>
      </c>
      <c r="AG385" s="42">
        <f t="shared" si="31"/>
        <v>0</v>
      </c>
      <c r="AH385" s="42">
        <f t="shared" si="32"/>
        <v>-6</v>
      </c>
      <c r="AI385" s="43">
        <f t="shared" si="33"/>
        <v>0.01</v>
      </c>
      <c r="AJ385" s="2"/>
      <c r="AK385" s="2"/>
      <c r="AL385" s="3"/>
      <c r="AM385" s="1"/>
      <c r="AN385" s="3"/>
      <c r="AO385" s="2"/>
      <c r="AP385" s="4"/>
      <c r="AQ385" s="2"/>
      <c r="AR385" s="5"/>
      <c r="AS385" s="1"/>
      <c r="AT385" s="1"/>
      <c r="AU385" s="1"/>
      <c r="AV385" s="1"/>
      <c r="AW385" s="1"/>
      <c r="AX385" s="1"/>
      <c r="AY385" s="1"/>
      <c r="AZ385" s="1"/>
    </row>
    <row r="386" spans="27:52" x14ac:dyDescent="0.25">
      <c r="AA386" s="1"/>
      <c r="AB386" s="1"/>
      <c r="AC386" s="31"/>
      <c r="AD386" s="32"/>
      <c r="AE386" s="33">
        <f t="shared" si="29"/>
        <v>19</v>
      </c>
      <c r="AF386" s="41">
        <f t="shared" si="30"/>
        <v>-6</v>
      </c>
      <c r="AG386" s="42">
        <f t="shared" si="31"/>
        <v>0</v>
      </c>
      <c r="AH386" s="42">
        <f t="shared" si="32"/>
        <v>-6</v>
      </c>
      <c r="AI386" s="43">
        <f t="shared" si="33"/>
        <v>0.01</v>
      </c>
      <c r="AJ386" s="2"/>
      <c r="AK386" s="2"/>
      <c r="AL386" s="3"/>
      <c r="AM386" s="1"/>
      <c r="AN386" s="3"/>
      <c r="AO386" s="2"/>
      <c r="AP386" s="4"/>
      <c r="AQ386" s="2"/>
      <c r="AR386" s="5"/>
      <c r="AS386" s="1"/>
      <c r="AT386" s="1"/>
      <c r="AU386" s="1"/>
      <c r="AV386" s="1"/>
      <c r="AW386" s="1"/>
      <c r="AX386" s="1"/>
      <c r="AY386" s="1"/>
      <c r="AZ386" s="1"/>
    </row>
    <row r="387" spans="27:52" x14ac:dyDescent="0.25">
      <c r="AA387" s="1"/>
      <c r="AB387" s="1"/>
      <c r="AC387" s="31"/>
      <c r="AD387" s="32"/>
      <c r="AE387" s="33">
        <f t="shared" ref="AE387:AE450" si="34">AE386</f>
        <v>19</v>
      </c>
      <c r="AF387" s="41">
        <f t="shared" si="30"/>
        <v>-6</v>
      </c>
      <c r="AG387" s="42">
        <f t="shared" si="31"/>
        <v>0</v>
      </c>
      <c r="AH387" s="42">
        <f t="shared" si="32"/>
        <v>-6</v>
      </c>
      <c r="AI387" s="43">
        <f t="shared" si="33"/>
        <v>0.01</v>
      </c>
      <c r="AJ387" s="2"/>
      <c r="AK387" s="2"/>
      <c r="AL387" s="3"/>
      <c r="AM387" s="1"/>
      <c r="AN387" s="3"/>
      <c r="AO387" s="2"/>
      <c r="AP387" s="4"/>
      <c r="AQ387" s="2"/>
      <c r="AR387" s="5"/>
      <c r="AS387" s="1"/>
      <c r="AT387" s="1"/>
      <c r="AU387" s="1"/>
      <c r="AV387" s="1"/>
      <c r="AW387" s="1"/>
      <c r="AX387" s="1"/>
      <c r="AY387" s="1"/>
      <c r="AZ387" s="1"/>
    </row>
    <row r="388" spans="27:52" x14ac:dyDescent="0.25">
      <c r="AA388" s="1"/>
      <c r="AB388" s="1"/>
      <c r="AC388" s="31"/>
      <c r="AD388" s="32"/>
      <c r="AE388" s="33">
        <f t="shared" si="34"/>
        <v>19</v>
      </c>
      <c r="AF388" s="41">
        <f t="shared" si="30"/>
        <v>-6</v>
      </c>
      <c r="AG388" s="42">
        <f t="shared" si="31"/>
        <v>0</v>
      </c>
      <c r="AH388" s="42">
        <f t="shared" si="32"/>
        <v>-6</v>
      </c>
      <c r="AI388" s="43">
        <f t="shared" si="33"/>
        <v>0.01</v>
      </c>
      <c r="AJ388" s="2"/>
      <c r="AK388" s="2"/>
      <c r="AL388" s="3"/>
      <c r="AM388" s="1"/>
      <c r="AN388" s="3"/>
      <c r="AO388" s="2"/>
      <c r="AP388" s="4"/>
      <c r="AQ388" s="2"/>
      <c r="AR388" s="5"/>
      <c r="AS388" s="1"/>
      <c r="AT388" s="1"/>
      <c r="AU388" s="1"/>
      <c r="AV388" s="1"/>
      <c r="AW388" s="1"/>
      <c r="AX388" s="1"/>
      <c r="AY388" s="1"/>
      <c r="AZ388" s="1"/>
    </row>
    <row r="389" spans="27:52" x14ac:dyDescent="0.25">
      <c r="AA389" s="1"/>
      <c r="AB389" s="1"/>
      <c r="AC389" s="31"/>
      <c r="AD389" s="32"/>
      <c r="AE389" s="33">
        <f t="shared" si="34"/>
        <v>19</v>
      </c>
      <c r="AF389" s="41">
        <f t="shared" si="30"/>
        <v>-6</v>
      </c>
      <c r="AG389" s="42">
        <f t="shared" si="31"/>
        <v>0</v>
      </c>
      <c r="AH389" s="42">
        <f t="shared" si="32"/>
        <v>-6</v>
      </c>
      <c r="AI389" s="43">
        <f t="shared" si="33"/>
        <v>0.01</v>
      </c>
      <c r="AJ389" s="2"/>
      <c r="AK389" s="2"/>
      <c r="AL389" s="3"/>
      <c r="AM389" s="1"/>
      <c r="AN389" s="3"/>
      <c r="AO389" s="2"/>
      <c r="AP389" s="4"/>
      <c r="AQ389" s="2"/>
      <c r="AR389" s="5"/>
      <c r="AS389" s="1"/>
      <c r="AT389" s="1"/>
      <c r="AU389" s="1"/>
      <c r="AV389" s="1"/>
      <c r="AW389" s="1"/>
      <c r="AX389" s="1"/>
      <c r="AY389" s="1"/>
      <c r="AZ389" s="1"/>
    </row>
    <row r="390" spans="27:52" x14ac:dyDescent="0.25">
      <c r="AA390" s="1"/>
      <c r="AB390" s="1"/>
      <c r="AC390" s="31"/>
      <c r="AD390" s="32"/>
      <c r="AE390" s="33">
        <f t="shared" si="34"/>
        <v>19</v>
      </c>
      <c r="AF390" s="41">
        <f t="shared" si="30"/>
        <v>-6</v>
      </c>
      <c r="AG390" s="42">
        <f t="shared" si="31"/>
        <v>0</v>
      </c>
      <c r="AH390" s="42">
        <f t="shared" si="32"/>
        <v>-6</v>
      </c>
      <c r="AI390" s="43">
        <f t="shared" si="33"/>
        <v>0.01</v>
      </c>
      <c r="AJ390" s="2"/>
      <c r="AK390" s="2"/>
      <c r="AL390" s="3"/>
      <c r="AM390" s="1"/>
      <c r="AN390" s="3"/>
      <c r="AO390" s="2"/>
      <c r="AP390" s="4"/>
      <c r="AQ390" s="2"/>
      <c r="AR390" s="5"/>
      <c r="AS390" s="1"/>
      <c r="AT390" s="1"/>
      <c r="AU390" s="1"/>
      <c r="AV390" s="1"/>
      <c r="AW390" s="1"/>
      <c r="AX390" s="1"/>
      <c r="AY390" s="1"/>
      <c r="AZ390" s="1"/>
    </row>
    <row r="391" spans="27:52" x14ac:dyDescent="0.25">
      <c r="AA391" s="1"/>
      <c r="AB391" s="1"/>
      <c r="AC391" s="31"/>
      <c r="AD391" s="32"/>
      <c r="AE391" s="33">
        <f t="shared" si="34"/>
        <v>19</v>
      </c>
      <c r="AF391" s="41">
        <f t="shared" si="30"/>
        <v>-6</v>
      </c>
      <c r="AG391" s="42">
        <f t="shared" si="31"/>
        <v>0</v>
      </c>
      <c r="AH391" s="42">
        <f t="shared" si="32"/>
        <v>-6</v>
      </c>
      <c r="AI391" s="43">
        <f t="shared" si="33"/>
        <v>0.01</v>
      </c>
      <c r="AJ391" s="2"/>
      <c r="AK391" s="2"/>
      <c r="AL391" s="3"/>
      <c r="AM391" s="1"/>
      <c r="AN391" s="3"/>
      <c r="AO391" s="2"/>
      <c r="AP391" s="4"/>
      <c r="AQ391" s="2"/>
      <c r="AR391" s="5"/>
      <c r="AS391" s="1"/>
      <c r="AT391" s="1"/>
      <c r="AU391" s="1"/>
      <c r="AV391" s="1"/>
      <c r="AW391" s="1"/>
      <c r="AX391" s="1"/>
      <c r="AY391" s="1"/>
      <c r="AZ391" s="1"/>
    </row>
    <row r="392" spans="27:52" x14ac:dyDescent="0.25">
      <c r="AA392" s="1"/>
      <c r="AB392" s="1"/>
      <c r="AC392" s="31"/>
      <c r="AD392" s="32"/>
      <c r="AE392" s="33">
        <f t="shared" si="34"/>
        <v>19</v>
      </c>
      <c r="AF392" s="41">
        <f t="shared" si="30"/>
        <v>-6</v>
      </c>
      <c r="AG392" s="42">
        <f t="shared" si="31"/>
        <v>0</v>
      </c>
      <c r="AH392" s="42">
        <f t="shared" si="32"/>
        <v>-6</v>
      </c>
      <c r="AI392" s="43">
        <f t="shared" si="33"/>
        <v>0.01</v>
      </c>
      <c r="AJ392" s="2"/>
      <c r="AK392" s="2"/>
      <c r="AL392" s="3"/>
      <c r="AM392" s="1"/>
      <c r="AN392" s="3"/>
      <c r="AO392" s="2"/>
      <c r="AP392" s="4"/>
      <c r="AQ392" s="2"/>
      <c r="AR392" s="5"/>
      <c r="AS392" s="1"/>
      <c r="AT392" s="1"/>
      <c r="AU392" s="1"/>
      <c r="AV392" s="1"/>
      <c r="AW392" s="1"/>
      <c r="AX392" s="1"/>
      <c r="AY392" s="1"/>
      <c r="AZ392" s="1"/>
    </row>
    <row r="393" spans="27:52" x14ac:dyDescent="0.25">
      <c r="AA393" s="1"/>
      <c r="AB393" s="1"/>
      <c r="AC393" s="31"/>
      <c r="AD393" s="32"/>
      <c r="AE393" s="33">
        <f t="shared" si="34"/>
        <v>19</v>
      </c>
      <c r="AF393" s="41">
        <f t="shared" si="30"/>
        <v>-6</v>
      </c>
      <c r="AG393" s="42">
        <f t="shared" si="31"/>
        <v>0</v>
      </c>
      <c r="AH393" s="42">
        <f t="shared" si="32"/>
        <v>-6</v>
      </c>
      <c r="AI393" s="43">
        <f t="shared" si="33"/>
        <v>0.01</v>
      </c>
      <c r="AJ393" s="2"/>
      <c r="AK393" s="2"/>
      <c r="AL393" s="3"/>
      <c r="AM393" s="1"/>
      <c r="AN393" s="3"/>
      <c r="AO393" s="2"/>
      <c r="AP393" s="4"/>
      <c r="AQ393" s="2"/>
      <c r="AR393" s="5"/>
      <c r="AS393" s="1"/>
      <c r="AT393" s="1"/>
      <c r="AU393" s="1"/>
      <c r="AV393" s="1"/>
      <c r="AW393" s="1"/>
      <c r="AX393" s="1"/>
      <c r="AY393" s="1"/>
      <c r="AZ393" s="1"/>
    </row>
    <row r="394" spans="27:52" x14ac:dyDescent="0.25">
      <c r="AA394" s="1"/>
      <c r="AB394" s="1"/>
      <c r="AC394" s="31"/>
      <c r="AD394" s="32"/>
      <c r="AE394" s="33">
        <f t="shared" si="34"/>
        <v>19</v>
      </c>
      <c r="AF394" s="41">
        <f t="shared" ref="AF394:AF457" si="35">IF(AF393+(AH393/AE394)&lt;AH393,AH393,AF393+(AH393/AE394))</f>
        <v>-6</v>
      </c>
      <c r="AG394" s="42">
        <f t="shared" ref="AG394:AG457" si="36">AI394*(1-(AF394/AH394))^2</f>
        <v>0</v>
      </c>
      <c r="AH394" s="42">
        <f t="shared" ref="AH394:AH457" si="37">AH393</f>
        <v>-6</v>
      </c>
      <c r="AI394" s="43">
        <f t="shared" ref="AI394:AI457" si="38">AI393</f>
        <v>0.01</v>
      </c>
      <c r="AJ394" s="2"/>
      <c r="AK394" s="2"/>
      <c r="AL394" s="3"/>
      <c r="AM394" s="1"/>
      <c r="AN394" s="3"/>
      <c r="AO394" s="2"/>
      <c r="AP394" s="4"/>
      <c r="AQ394" s="2"/>
      <c r="AR394" s="5"/>
      <c r="AS394" s="1"/>
      <c r="AT394" s="1"/>
      <c r="AU394" s="1"/>
      <c r="AV394" s="1"/>
      <c r="AW394" s="1"/>
      <c r="AX394" s="1"/>
      <c r="AY394" s="1"/>
      <c r="AZ394" s="1"/>
    </row>
    <row r="395" spans="27:52" x14ac:dyDescent="0.25">
      <c r="AA395" s="1"/>
      <c r="AB395" s="1"/>
      <c r="AC395" s="31"/>
      <c r="AD395" s="32"/>
      <c r="AE395" s="33">
        <f t="shared" si="34"/>
        <v>19</v>
      </c>
      <c r="AF395" s="41">
        <f t="shared" si="35"/>
        <v>-6</v>
      </c>
      <c r="AG395" s="42">
        <f t="shared" si="36"/>
        <v>0</v>
      </c>
      <c r="AH395" s="42">
        <f t="shared" si="37"/>
        <v>-6</v>
      </c>
      <c r="AI395" s="43">
        <f t="shared" si="38"/>
        <v>0.01</v>
      </c>
      <c r="AJ395" s="2"/>
      <c r="AK395" s="2"/>
      <c r="AL395" s="3"/>
      <c r="AM395" s="1"/>
      <c r="AN395" s="3"/>
      <c r="AO395" s="2"/>
      <c r="AP395" s="4"/>
      <c r="AQ395" s="2"/>
      <c r="AR395" s="5"/>
      <c r="AS395" s="1"/>
      <c r="AT395" s="1"/>
      <c r="AU395" s="1"/>
      <c r="AV395" s="1"/>
      <c r="AW395" s="1"/>
      <c r="AX395" s="1"/>
      <c r="AY395" s="1"/>
      <c r="AZ395" s="1"/>
    </row>
    <row r="396" spans="27:52" x14ac:dyDescent="0.25">
      <c r="AA396" s="1"/>
      <c r="AB396" s="1"/>
      <c r="AC396" s="31"/>
      <c r="AD396" s="32"/>
      <c r="AE396" s="33">
        <f t="shared" si="34"/>
        <v>19</v>
      </c>
      <c r="AF396" s="41">
        <f t="shared" si="35"/>
        <v>-6</v>
      </c>
      <c r="AG396" s="42">
        <f t="shared" si="36"/>
        <v>0</v>
      </c>
      <c r="AH396" s="42">
        <f t="shared" si="37"/>
        <v>-6</v>
      </c>
      <c r="AI396" s="43">
        <f t="shared" si="38"/>
        <v>0.01</v>
      </c>
      <c r="AJ396" s="2"/>
      <c r="AK396" s="2"/>
      <c r="AL396" s="3"/>
      <c r="AM396" s="1"/>
      <c r="AN396" s="3"/>
      <c r="AO396" s="2"/>
      <c r="AP396" s="4"/>
      <c r="AQ396" s="2"/>
      <c r="AR396" s="5"/>
      <c r="AS396" s="1"/>
      <c r="AT396" s="1"/>
      <c r="AU396" s="1"/>
      <c r="AV396" s="1"/>
      <c r="AW396" s="1"/>
      <c r="AX396" s="1"/>
      <c r="AY396" s="1"/>
      <c r="AZ396" s="1"/>
    </row>
    <row r="397" spans="27:52" x14ac:dyDescent="0.25">
      <c r="AA397" s="1"/>
      <c r="AB397" s="1"/>
      <c r="AC397" s="31"/>
      <c r="AD397" s="32"/>
      <c r="AE397" s="33">
        <f t="shared" si="34"/>
        <v>19</v>
      </c>
      <c r="AF397" s="41">
        <f t="shared" si="35"/>
        <v>-6</v>
      </c>
      <c r="AG397" s="42">
        <f t="shared" si="36"/>
        <v>0</v>
      </c>
      <c r="AH397" s="42">
        <f t="shared" si="37"/>
        <v>-6</v>
      </c>
      <c r="AI397" s="43">
        <f t="shared" si="38"/>
        <v>0.01</v>
      </c>
      <c r="AJ397" s="2"/>
      <c r="AK397" s="2"/>
      <c r="AL397" s="3"/>
      <c r="AM397" s="1"/>
      <c r="AN397" s="3"/>
      <c r="AO397" s="2"/>
      <c r="AP397" s="4"/>
      <c r="AQ397" s="2"/>
      <c r="AR397" s="5"/>
      <c r="AS397" s="1"/>
      <c r="AT397" s="1"/>
      <c r="AU397" s="1"/>
      <c r="AV397" s="1"/>
      <c r="AW397" s="1"/>
      <c r="AX397" s="1"/>
      <c r="AY397" s="1"/>
      <c r="AZ397" s="1"/>
    </row>
    <row r="398" spans="27:52" x14ac:dyDescent="0.25">
      <c r="AA398" s="1"/>
      <c r="AB398" s="1"/>
      <c r="AC398" s="31"/>
      <c r="AD398" s="32"/>
      <c r="AE398" s="33">
        <f t="shared" si="34"/>
        <v>19</v>
      </c>
      <c r="AF398" s="41">
        <f t="shared" si="35"/>
        <v>-6</v>
      </c>
      <c r="AG398" s="42">
        <f t="shared" si="36"/>
        <v>0</v>
      </c>
      <c r="AH398" s="42">
        <f t="shared" si="37"/>
        <v>-6</v>
      </c>
      <c r="AI398" s="43">
        <f t="shared" si="38"/>
        <v>0.01</v>
      </c>
      <c r="AJ398" s="2"/>
      <c r="AK398" s="2"/>
      <c r="AL398" s="3"/>
      <c r="AM398" s="1"/>
      <c r="AN398" s="3"/>
      <c r="AO398" s="2"/>
      <c r="AP398" s="4"/>
      <c r="AQ398" s="2"/>
      <c r="AR398" s="5"/>
      <c r="AS398" s="1"/>
      <c r="AT398" s="1"/>
      <c r="AU398" s="1"/>
      <c r="AV398" s="1"/>
      <c r="AW398" s="1"/>
      <c r="AX398" s="1"/>
      <c r="AY398" s="1"/>
      <c r="AZ398" s="1"/>
    </row>
    <row r="399" spans="27:52" x14ac:dyDescent="0.25">
      <c r="AA399" s="1"/>
      <c r="AB399" s="1"/>
      <c r="AC399" s="31"/>
      <c r="AD399" s="32"/>
      <c r="AE399" s="33">
        <f t="shared" si="34"/>
        <v>19</v>
      </c>
      <c r="AF399" s="41">
        <f t="shared" si="35"/>
        <v>-6</v>
      </c>
      <c r="AG399" s="42">
        <f t="shared" si="36"/>
        <v>0</v>
      </c>
      <c r="AH399" s="42">
        <f t="shared" si="37"/>
        <v>-6</v>
      </c>
      <c r="AI399" s="43">
        <f t="shared" si="38"/>
        <v>0.01</v>
      </c>
      <c r="AJ399" s="2"/>
      <c r="AK399" s="2"/>
      <c r="AL399" s="3"/>
      <c r="AM399" s="1"/>
      <c r="AN399" s="3"/>
      <c r="AO399" s="2"/>
      <c r="AP399" s="4"/>
      <c r="AQ399" s="2"/>
      <c r="AR399" s="5"/>
      <c r="AS399" s="1"/>
      <c r="AT399" s="1"/>
      <c r="AU399" s="1"/>
      <c r="AV399" s="1"/>
      <c r="AW399" s="1"/>
      <c r="AX399" s="1"/>
      <c r="AY399" s="1"/>
      <c r="AZ399" s="1"/>
    </row>
    <row r="400" spans="27:52" x14ac:dyDescent="0.25">
      <c r="AA400" s="1"/>
      <c r="AB400" s="1"/>
      <c r="AC400" s="31"/>
      <c r="AD400" s="32"/>
      <c r="AE400" s="33">
        <f t="shared" si="34"/>
        <v>19</v>
      </c>
      <c r="AF400" s="41">
        <f t="shared" si="35"/>
        <v>-6</v>
      </c>
      <c r="AG400" s="42">
        <f t="shared" si="36"/>
        <v>0</v>
      </c>
      <c r="AH400" s="42">
        <f t="shared" si="37"/>
        <v>-6</v>
      </c>
      <c r="AI400" s="43">
        <f t="shared" si="38"/>
        <v>0.01</v>
      </c>
      <c r="AJ400" s="2"/>
      <c r="AK400" s="2"/>
      <c r="AL400" s="3"/>
      <c r="AM400" s="1"/>
      <c r="AN400" s="3"/>
      <c r="AO400" s="2"/>
      <c r="AP400" s="4"/>
      <c r="AQ400" s="2"/>
      <c r="AR400" s="5"/>
      <c r="AS400" s="1"/>
      <c r="AT400" s="1"/>
      <c r="AU400" s="1"/>
      <c r="AV400" s="1"/>
      <c r="AW400" s="1"/>
      <c r="AX400" s="1"/>
      <c r="AY400" s="1"/>
      <c r="AZ400" s="1"/>
    </row>
    <row r="401" spans="27:52" x14ac:dyDescent="0.25">
      <c r="AA401" s="1"/>
      <c r="AB401" s="1"/>
      <c r="AC401" s="31"/>
      <c r="AD401" s="32"/>
      <c r="AE401" s="33">
        <f t="shared" si="34"/>
        <v>19</v>
      </c>
      <c r="AF401" s="41">
        <f t="shared" si="35"/>
        <v>-6</v>
      </c>
      <c r="AG401" s="42">
        <f t="shared" si="36"/>
        <v>0</v>
      </c>
      <c r="AH401" s="42">
        <f t="shared" si="37"/>
        <v>-6</v>
      </c>
      <c r="AI401" s="43">
        <f t="shared" si="38"/>
        <v>0.01</v>
      </c>
      <c r="AJ401" s="2"/>
      <c r="AK401" s="2"/>
      <c r="AL401" s="3"/>
      <c r="AM401" s="1"/>
      <c r="AN401" s="3"/>
      <c r="AO401" s="2"/>
      <c r="AP401" s="4"/>
      <c r="AQ401" s="2"/>
      <c r="AR401" s="5"/>
      <c r="AS401" s="1"/>
      <c r="AT401" s="1"/>
      <c r="AU401" s="1"/>
      <c r="AV401" s="1"/>
      <c r="AW401" s="1"/>
      <c r="AX401" s="1"/>
      <c r="AY401" s="1"/>
      <c r="AZ401" s="1"/>
    </row>
    <row r="402" spans="27:52" x14ac:dyDescent="0.25">
      <c r="AA402" s="1"/>
      <c r="AB402" s="1"/>
      <c r="AC402" s="31"/>
      <c r="AD402" s="32"/>
      <c r="AE402" s="33">
        <f t="shared" si="34"/>
        <v>19</v>
      </c>
      <c r="AF402" s="41">
        <f t="shared" si="35"/>
        <v>-6</v>
      </c>
      <c r="AG402" s="42">
        <f t="shared" si="36"/>
        <v>0</v>
      </c>
      <c r="AH402" s="42">
        <f t="shared" si="37"/>
        <v>-6</v>
      </c>
      <c r="AI402" s="43">
        <f t="shared" si="38"/>
        <v>0.01</v>
      </c>
      <c r="AJ402" s="2"/>
      <c r="AK402" s="2"/>
      <c r="AL402" s="3"/>
      <c r="AM402" s="1"/>
      <c r="AN402" s="3"/>
      <c r="AO402" s="2"/>
      <c r="AP402" s="4"/>
      <c r="AQ402" s="2"/>
      <c r="AR402" s="5"/>
      <c r="AS402" s="1"/>
      <c r="AT402" s="1"/>
      <c r="AU402" s="1"/>
      <c r="AV402" s="1"/>
      <c r="AW402" s="1"/>
      <c r="AX402" s="1"/>
      <c r="AY402" s="1"/>
      <c r="AZ402" s="1"/>
    </row>
    <row r="403" spans="27:52" x14ac:dyDescent="0.25">
      <c r="AA403" s="1"/>
      <c r="AB403" s="1"/>
      <c r="AC403" s="31"/>
      <c r="AD403" s="32"/>
      <c r="AE403" s="33">
        <f t="shared" si="34"/>
        <v>19</v>
      </c>
      <c r="AF403" s="41">
        <f t="shared" si="35"/>
        <v>-6</v>
      </c>
      <c r="AG403" s="42">
        <f t="shared" si="36"/>
        <v>0</v>
      </c>
      <c r="AH403" s="42">
        <f t="shared" si="37"/>
        <v>-6</v>
      </c>
      <c r="AI403" s="43">
        <f t="shared" si="38"/>
        <v>0.01</v>
      </c>
      <c r="AJ403" s="2"/>
      <c r="AK403" s="2"/>
      <c r="AL403" s="3"/>
      <c r="AM403" s="1"/>
      <c r="AN403" s="3"/>
      <c r="AO403" s="2"/>
      <c r="AP403" s="4"/>
      <c r="AQ403" s="2"/>
      <c r="AR403" s="5"/>
      <c r="AS403" s="1"/>
      <c r="AT403" s="1"/>
      <c r="AU403" s="1"/>
      <c r="AV403" s="1"/>
      <c r="AW403" s="1"/>
      <c r="AX403" s="1"/>
      <c r="AY403" s="1"/>
      <c r="AZ403" s="1"/>
    </row>
    <row r="404" spans="27:52" x14ac:dyDescent="0.25">
      <c r="AA404" s="1"/>
      <c r="AB404" s="1"/>
      <c r="AC404" s="31"/>
      <c r="AD404" s="32"/>
      <c r="AE404" s="33">
        <f t="shared" si="34"/>
        <v>19</v>
      </c>
      <c r="AF404" s="41">
        <f t="shared" si="35"/>
        <v>-6</v>
      </c>
      <c r="AG404" s="42">
        <f t="shared" si="36"/>
        <v>0</v>
      </c>
      <c r="AH404" s="42">
        <f t="shared" si="37"/>
        <v>-6</v>
      </c>
      <c r="AI404" s="43">
        <f t="shared" si="38"/>
        <v>0.01</v>
      </c>
      <c r="AJ404" s="2"/>
      <c r="AK404" s="2"/>
      <c r="AL404" s="3"/>
      <c r="AM404" s="1"/>
      <c r="AN404" s="3"/>
      <c r="AO404" s="2"/>
      <c r="AP404" s="4"/>
      <c r="AQ404" s="2"/>
      <c r="AR404" s="5"/>
      <c r="AS404" s="1"/>
      <c r="AT404" s="1"/>
      <c r="AU404" s="1"/>
      <c r="AV404" s="1"/>
      <c r="AW404" s="1"/>
      <c r="AX404" s="1"/>
      <c r="AY404" s="1"/>
      <c r="AZ404" s="1"/>
    </row>
    <row r="405" spans="27:52" x14ac:dyDescent="0.25">
      <c r="AA405" s="1"/>
      <c r="AB405" s="1"/>
      <c r="AC405" s="31"/>
      <c r="AD405" s="32"/>
      <c r="AE405" s="33">
        <f t="shared" si="34"/>
        <v>19</v>
      </c>
      <c r="AF405" s="41">
        <f t="shared" si="35"/>
        <v>-6</v>
      </c>
      <c r="AG405" s="42">
        <f t="shared" si="36"/>
        <v>0</v>
      </c>
      <c r="AH405" s="42">
        <f t="shared" si="37"/>
        <v>-6</v>
      </c>
      <c r="AI405" s="43">
        <f t="shared" si="38"/>
        <v>0.01</v>
      </c>
      <c r="AJ405" s="2"/>
      <c r="AK405" s="2"/>
      <c r="AL405" s="3"/>
      <c r="AM405" s="1"/>
      <c r="AN405" s="3"/>
      <c r="AO405" s="2"/>
      <c r="AP405" s="4"/>
      <c r="AQ405" s="2"/>
      <c r="AR405" s="5"/>
      <c r="AS405" s="1"/>
      <c r="AT405" s="1"/>
      <c r="AU405" s="1"/>
      <c r="AV405" s="1"/>
      <c r="AW405" s="1"/>
      <c r="AX405" s="1"/>
      <c r="AY405" s="1"/>
      <c r="AZ405" s="1"/>
    </row>
    <row r="406" spans="27:52" x14ac:dyDescent="0.25">
      <c r="AA406" s="1"/>
      <c r="AB406" s="1"/>
      <c r="AC406" s="31"/>
      <c r="AD406" s="32"/>
      <c r="AE406" s="33">
        <f t="shared" si="34"/>
        <v>19</v>
      </c>
      <c r="AF406" s="41">
        <f t="shared" si="35"/>
        <v>-6</v>
      </c>
      <c r="AG406" s="42">
        <f t="shared" si="36"/>
        <v>0</v>
      </c>
      <c r="AH406" s="42">
        <f t="shared" si="37"/>
        <v>-6</v>
      </c>
      <c r="AI406" s="43">
        <f t="shared" si="38"/>
        <v>0.01</v>
      </c>
      <c r="AJ406" s="2"/>
      <c r="AK406" s="2"/>
      <c r="AL406" s="3"/>
      <c r="AM406" s="1"/>
      <c r="AN406" s="3"/>
      <c r="AO406" s="2"/>
      <c r="AP406" s="4"/>
      <c r="AQ406" s="2"/>
      <c r="AR406" s="5"/>
      <c r="AS406" s="1"/>
      <c r="AT406" s="1"/>
      <c r="AU406" s="1"/>
      <c r="AV406" s="1"/>
      <c r="AW406" s="1"/>
      <c r="AX406" s="1"/>
      <c r="AY406" s="1"/>
      <c r="AZ406" s="1"/>
    </row>
    <row r="407" spans="27:52" x14ac:dyDescent="0.25">
      <c r="AA407" s="1"/>
      <c r="AB407" s="1"/>
      <c r="AC407" s="31"/>
      <c r="AD407" s="32"/>
      <c r="AE407" s="33">
        <f t="shared" si="34"/>
        <v>19</v>
      </c>
      <c r="AF407" s="41">
        <f t="shared" si="35"/>
        <v>-6</v>
      </c>
      <c r="AG407" s="42">
        <f t="shared" si="36"/>
        <v>0</v>
      </c>
      <c r="AH407" s="42">
        <f t="shared" si="37"/>
        <v>-6</v>
      </c>
      <c r="AI407" s="43">
        <f t="shared" si="38"/>
        <v>0.01</v>
      </c>
      <c r="AJ407" s="2"/>
      <c r="AK407" s="2"/>
      <c r="AL407" s="3"/>
      <c r="AM407" s="1"/>
      <c r="AN407" s="3"/>
      <c r="AO407" s="2"/>
      <c r="AP407" s="4"/>
      <c r="AQ407" s="2"/>
      <c r="AR407" s="5"/>
      <c r="AS407" s="1"/>
      <c r="AT407" s="1"/>
      <c r="AU407" s="1"/>
      <c r="AV407" s="1"/>
      <c r="AW407" s="1"/>
      <c r="AX407" s="1"/>
      <c r="AY407" s="1"/>
      <c r="AZ407" s="1"/>
    </row>
    <row r="408" spans="27:52" x14ac:dyDescent="0.25">
      <c r="AA408" s="1"/>
      <c r="AB408" s="1"/>
      <c r="AC408" s="31"/>
      <c r="AD408" s="32"/>
      <c r="AE408" s="33">
        <f t="shared" si="34"/>
        <v>19</v>
      </c>
      <c r="AF408" s="41">
        <f t="shared" si="35"/>
        <v>-6</v>
      </c>
      <c r="AG408" s="42">
        <f t="shared" si="36"/>
        <v>0</v>
      </c>
      <c r="AH408" s="42">
        <f t="shared" si="37"/>
        <v>-6</v>
      </c>
      <c r="AI408" s="43">
        <f t="shared" si="38"/>
        <v>0.01</v>
      </c>
      <c r="AJ408" s="2"/>
      <c r="AK408" s="2"/>
      <c r="AL408" s="3"/>
      <c r="AM408" s="1"/>
      <c r="AN408" s="3"/>
      <c r="AO408" s="2"/>
      <c r="AP408" s="4"/>
      <c r="AQ408" s="2"/>
      <c r="AR408" s="5"/>
      <c r="AS408" s="1"/>
      <c r="AT408" s="1"/>
      <c r="AU408" s="1"/>
      <c r="AV408" s="1"/>
      <c r="AW408" s="1"/>
      <c r="AX408" s="1"/>
      <c r="AY408" s="1"/>
      <c r="AZ408" s="1"/>
    </row>
    <row r="409" spans="27:52" x14ac:dyDescent="0.25">
      <c r="AA409" s="1"/>
      <c r="AB409" s="1"/>
      <c r="AC409" s="31"/>
      <c r="AD409" s="32"/>
      <c r="AE409" s="33">
        <f t="shared" si="34"/>
        <v>19</v>
      </c>
      <c r="AF409" s="41">
        <f t="shared" si="35"/>
        <v>-6</v>
      </c>
      <c r="AG409" s="42">
        <f t="shared" si="36"/>
        <v>0</v>
      </c>
      <c r="AH409" s="42">
        <f t="shared" si="37"/>
        <v>-6</v>
      </c>
      <c r="AI409" s="43">
        <f t="shared" si="38"/>
        <v>0.01</v>
      </c>
      <c r="AJ409" s="2"/>
      <c r="AK409" s="2"/>
      <c r="AL409" s="3"/>
      <c r="AM409" s="1"/>
      <c r="AN409" s="3"/>
      <c r="AO409" s="2"/>
      <c r="AP409" s="4"/>
      <c r="AQ409" s="2"/>
      <c r="AR409" s="5"/>
      <c r="AS409" s="1"/>
      <c r="AT409" s="1"/>
      <c r="AU409" s="1"/>
      <c r="AV409" s="1"/>
      <c r="AW409" s="1"/>
      <c r="AX409" s="1"/>
      <c r="AY409" s="1"/>
      <c r="AZ409" s="1"/>
    </row>
    <row r="410" spans="27:52" x14ac:dyDescent="0.25">
      <c r="AA410" s="1"/>
      <c r="AB410" s="1"/>
      <c r="AC410" s="31"/>
      <c r="AD410" s="32"/>
      <c r="AE410" s="33">
        <f t="shared" si="34"/>
        <v>19</v>
      </c>
      <c r="AF410" s="41">
        <f t="shared" si="35"/>
        <v>-6</v>
      </c>
      <c r="AG410" s="42">
        <f t="shared" si="36"/>
        <v>0</v>
      </c>
      <c r="AH410" s="42">
        <f t="shared" si="37"/>
        <v>-6</v>
      </c>
      <c r="AI410" s="43">
        <f t="shared" si="38"/>
        <v>0.01</v>
      </c>
      <c r="AJ410" s="2"/>
      <c r="AK410" s="2"/>
      <c r="AL410" s="3"/>
      <c r="AM410" s="1"/>
      <c r="AN410" s="3"/>
      <c r="AO410" s="2"/>
      <c r="AP410" s="4"/>
      <c r="AQ410" s="2"/>
      <c r="AR410" s="5"/>
      <c r="AS410" s="1"/>
      <c r="AT410" s="1"/>
      <c r="AU410" s="1"/>
      <c r="AV410" s="1"/>
      <c r="AW410" s="1"/>
      <c r="AX410" s="1"/>
      <c r="AY410" s="1"/>
      <c r="AZ410" s="1"/>
    </row>
    <row r="411" spans="27:52" x14ac:dyDescent="0.25">
      <c r="AA411" s="1"/>
      <c r="AB411" s="1"/>
      <c r="AC411" s="31"/>
      <c r="AD411" s="32"/>
      <c r="AE411" s="33">
        <f t="shared" si="34"/>
        <v>19</v>
      </c>
      <c r="AF411" s="41">
        <f t="shared" si="35"/>
        <v>-6</v>
      </c>
      <c r="AG411" s="42">
        <f t="shared" si="36"/>
        <v>0</v>
      </c>
      <c r="AH411" s="42">
        <f t="shared" si="37"/>
        <v>-6</v>
      </c>
      <c r="AI411" s="43">
        <f t="shared" si="38"/>
        <v>0.01</v>
      </c>
      <c r="AJ411" s="2"/>
      <c r="AK411" s="2"/>
      <c r="AL411" s="3"/>
      <c r="AM411" s="1"/>
      <c r="AN411" s="3"/>
      <c r="AO411" s="2"/>
      <c r="AP411" s="4"/>
      <c r="AQ411" s="2"/>
      <c r="AR411" s="5"/>
      <c r="AS411" s="1"/>
      <c r="AT411" s="1"/>
      <c r="AU411" s="1"/>
      <c r="AV411" s="1"/>
      <c r="AW411" s="1"/>
      <c r="AX411" s="1"/>
      <c r="AY411" s="1"/>
      <c r="AZ411" s="1"/>
    </row>
    <row r="412" spans="27:52" x14ac:dyDescent="0.25">
      <c r="AA412" s="1"/>
      <c r="AB412" s="1"/>
      <c r="AC412" s="31"/>
      <c r="AD412" s="32"/>
      <c r="AE412" s="33">
        <f t="shared" si="34"/>
        <v>19</v>
      </c>
      <c r="AF412" s="41">
        <f t="shared" si="35"/>
        <v>-6</v>
      </c>
      <c r="AG412" s="42">
        <f t="shared" si="36"/>
        <v>0</v>
      </c>
      <c r="AH412" s="42">
        <f t="shared" si="37"/>
        <v>-6</v>
      </c>
      <c r="AI412" s="43">
        <f t="shared" si="38"/>
        <v>0.01</v>
      </c>
      <c r="AJ412" s="2"/>
      <c r="AK412" s="2"/>
      <c r="AL412" s="3"/>
      <c r="AM412" s="1"/>
      <c r="AN412" s="3"/>
      <c r="AO412" s="2"/>
      <c r="AP412" s="4"/>
      <c r="AQ412" s="2"/>
      <c r="AR412" s="5"/>
      <c r="AS412" s="1"/>
      <c r="AT412" s="1"/>
      <c r="AU412" s="1"/>
      <c r="AV412" s="1"/>
      <c r="AW412" s="1"/>
      <c r="AX412" s="1"/>
      <c r="AY412" s="1"/>
      <c r="AZ412" s="1"/>
    </row>
    <row r="413" spans="27:52" x14ac:dyDescent="0.25">
      <c r="AA413" s="1"/>
      <c r="AB413" s="1"/>
      <c r="AC413" s="31"/>
      <c r="AD413" s="32"/>
      <c r="AE413" s="33">
        <f t="shared" si="34"/>
        <v>19</v>
      </c>
      <c r="AF413" s="41">
        <f t="shared" si="35"/>
        <v>-6</v>
      </c>
      <c r="AG413" s="42">
        <f t="shared" si="36"/>
        <v>0</v>
      </c>
      <c r="AH413" s="42">
        <f t="shared" si="37"/>
        <v>-6</v>
      </c>
      <c r="AI413" s="43">
        <f t="shared" si="38"/>
        <v>0.01</v>
      </c>
      <c r="AJ413" s="2"/>
      <c r="AK413" s="2"/>
      <c r="AL413" s="3"/>
      <c r="AM413" s="1"/>
      <c r="AN413" s="3"/>
      <c r="AO413" s="2"/>
      <c r="AP413" s="4"/>
      <c r="AQ413" s="2"/>
      <c r="AR413" s="5"/>
      <c r="AS413" s="1"/>
      <c r="AT413" s="1"/>
      <c r="AU413" s="1"/>
      <c r="AV413" s="1"/>
      <c r="AW413" s="1"/>
      <c r="AX413" s="1"/>
      <c r="AY413" s="1"/>
      <c r="AZ413" s="1"/>
    </row>
    <row r="414" spans="27:52" x14ac:dyDescent="0.25">
      <c r="AA414" s="1"/>
      <c r="AB414" s="1"/>
      <c r="AC414" s="31"/>
      <c r="AD414" s="32"/>
      <c r="AE414" s="33">
        <f t="shared" si="34"/>
        <v>19</v>
      </c>
      <c r="AF414" s="41">
        <f t="shared" si="35"/>
        <v>-6</v>
      </c>
      <c r="AG414" s="42">
        <f t="shared" si="36"/>
        <v>0</v>
      </c>
      <c r="AH414" s="42">
        <f t="shared" si="37"/>
        <v>-6</v>
      </c>
      <c r="AI414" s="43">
        <f t="shared" si="38"/>
        <v>0.01</v>
      </c>
      <c r="AJ414" s="2"/>
      <c r="AK414" s="2"/>
      <c r="AL414" s="3"/>
      <c r="AM414" s="1"/>
      <c r="AN414" s="3"/>
      <c r="AO414" s="2"/>
      <c r="AP414" s="4"/>
      <c r="AQ414" s="2"/>
      <c r="AR414" s="5"/>
      <c r="AS414" s="1"/>
      <c r="AT414" s="1"/>
      <c r="AU414" s="1"/>
      <c r="AV414" s="1"/>
      <c r="AW414" s="1"/>
      <c r="AX414" s="1"/>
      <c r="AY414" s="1"/>
      <c r="AZ414" s="1"/>
    </row>
    <row r="415" spans="27:52" x14ac:dyDescent="0.25">
      <c r="AA415" s="1"/>
      <c r="AB415" s="1"/>
      <c r="AC415" s="31"/>
      <c r="AD415" s="32"/>
      <c r="AE415" s="33">
        <f t="shared" si="34"/>
        <v>19</v>
      </c>
      <c r="AF415" s="41">
        <f t="shared" si="35"/>
        <v>-6</v>
      </c>
      <c r="AG415" s="42">
        <f t="shared" si="36"/>
        <v>0</v>
      </c>
      <c r="AH415" s="42">
        <f t="shared" si="37"/>
        <v>-6</v>
      </c>
      <c r="AI415" s="43">
        <f t="shared" si="38"/>
        <v>0.01</v>
      </c>
      <c r="AJ415" s="2"/>
      <c r="AK415" s="2"/>
      <c r="AL415" s="3"/>
      <c r="AM415" s="1"/>
      <c r="AN415" s="3"/>
      <c r="AO415" s="2"/>
      <c r="AP415" s="4"/>
      <c r="AQ415" s="2"/>
      <c r="AR415" s="5"/>
      <c r="AS415" s="1"/>
      <c r="AT415" s="1"/>
      <c r="AU415" s="1"/>
      <c r="AV415" s="1"/>
      <c r="AW415" s="1"/>
      <c r="AX415" s="1"/>
      <c r="AY415" s="1"/>
      <c r="AZ415" s="1"/>
    </row>
    <row r="416" spans="27:52" x14ac:dyDescent="0.25">
      <c r="AA416" s="1"/>
      <c r="AB416" s="1"/>
      <c r="AC416" s="31"/>
      <c r="AD416" s="32"/>
      <c r="AE416" s="33">
        <f t="shared" si="34"/>
        <v>19</v>
      </c>
      <c r="AF416" s="41">
        <f t="shared" si="35"/>
        <v>-6</v>
      </c>
      <c r="AG416" s="42">
        <f t="shared" si="36"/>
        <v>0</v>
      </c>
      <c r="AH416" s="42">
        <f t="shared" si="37"/>
        <v>-6</v>
      </c>
      <c r="AI416" s="43">
        <f t="shared" si="38"/>
        <v>0.01</v>
      </c>
      <c r="AJ416" s="2"/>
      <c r="AK416" s="2"/>
      <c r="AL416" s="3"/>
      <c r="AM416" s="1"/>
      <c r="AN416" s="3"/>
      <c r="AO416" s="2"/>
      <c r="AP416" s="4"/>
      <c r="AQ416" s="2"/>
      <c r="AR416" s="5"/>
      <c r="AS416" s="1"/>
      <c r="AT416" s="1"/>
      <c r="AU416" s="1"/>
      <c r="AV416" s="1"/>
      <c r="AW416" s="1"/>
      <c r="AX416" s="1"/>
      <c r="AY416" s="1"/>
      <c r="AZ416" s="1"/>
    </row>
    <row r="417" spans="27:52" x14ac:dyDescent="0.25">
      <c r="AA417" s="1"/>
      <c r="AB417" s="1"/>
      <c r="AC417" s="31"/>
      <c r="AD417" s="32"/>
      <c r="AE417" s="33">
        <f t="shared" si="34"/>
        <v>19</v>
      </c>
      <c r="AF417" s="41">
        <f t="shared" si="35"/>
        <v>-6</v>
      </c>
      <c r="AG417" s="42">
        <f t="shared" si="36"/>
        <v>0</v>
      </c>
      <c r="AH417" s="42">
        <f t="shared" si="37"/>
        <v>-6</v>
      </c>
      <c r="AI417" s="43">
        <f t="shared" si="38"/>
        <v>0.01</v>
      </c>
      <c r="AJ417" s="2"/>
      <c r="AK417" s="2"/>
      <c r="AL417" s="3"/>
      <c r="AM417" s="1"/>
      <c r="AN417" s="3"/>
      <c r="AO417" s="2"/>
      <c r="AP417" s="4"/>
      <c r="AQ417" s="2"/>
      <c r="AR417" s="5"/>
      <c r="AS417" s="1"/>
      <c r="AT417" s="1"/>
      <c r="AU417" s="1"/>
      <c r="AV417" s="1"/>
      <c r="AW417" s="1"/>
      <c r="AX417" s="1"/>
      <c r="AY417" s="1"/>
      <c r="AZ417" s="1"/>
    </row>
    <row r="418" spans="27:52" x14ac:dyDescent="0.25">
      <c r="AA418" s="1"/>
      <c r="AB418" s="1"/>
      <c r="AC418" s="31"/>
      <c r="AD418" s="32"/>
      <c r="AE418" s="33">
        <f t="shared" si="34"/>
        <v>19</v>
      </c>
      <c r="AF418" s="41">
        <f t="shared" si="35"/>
        <v>-6</v>
      </c>
      <c r="AG418" s="42">
        <f t="shared" si="36"/>
        <v>0</v>
      </c>
      <c r="AH418" s="42">
        <f t="shared" si="37"/>
        <v>-6</v>
      </c>
      <c r="AI418" s="43">
        <f t="shared" si="38"/>
        <v>0.01</v>
      </c>
      <c r="AJ418" s="2"/>
      <c r="AK418" s="2"/>
      <c r="AL418" s="3"/>
      <c r="AM418" s="1"/>
      <c r="AN418" s="3"/>
      <c r="AO418" s="2"/>
      <c r="AP418" s="4"/>
      <c r="AQ418" s="2"/>
      <c r="AR418" s="5"/>
      <c r="AS418" s="1"/>
      <c r="AT418" s="1"/>
      <c r="AU418" s="1"/>
      <c r="AV418" s="1"/>
      <c r="AW418" s="1"/>
      <c r="AX418" s="1"/>
      <c r="AY418" s="1"/>
      <c r="AZ418" s="1"/>
    </row>
    <row r="419" spans="27:52" x14ac:dyDescent="0.25">
      <c r="AA419" s="1"/>
      <c r="AB419" s="1"/>
      <c r="AC419" s="31"/>
      <c r="AD419" s="32"/>
      <c r="AE419" s="33">
        <f t="shared" si="34"/>
        <v>19</v>
      </c>
      <c r="AF419" s="41">
        <f t="shared" si="35"/>
        <v>-6</v>
      </c>
      <c r="AG419" s="42">
        <f t="shared" si="36"/>
        <v>0</v>
      </c>
      <c r="AH419" s="42">
        <f t="shared" si="37"/>
        <v>-6</v>
      </c>
      <c r="AI419" s="43">
        <f t="shared" si="38"/>
        <v>0.01</v>
      </c>
      <c r="AJ419" s="2"/>
      <c r="AK419" s="2"/>
      <c r="AL419" s="3"/>
      <c r="AM419" s="1"/>
      <c r="AN419" s="3"/>
      <c r="AO419" s="2"/>
      <c r="AP419" s="4"/>
      <c r="AQ419" s="2"/>
      <c r="AR419" s="5"/>
      <c r="AS419" s="1"/>
      <c r="AT419" s="1"/>
      <c r="AU419" s="1"/>
      <c r="AV419" s="1"/>
      <c r="AW419" s="1"/>
      <c r="AX419" s="1"/>
      <c r="AY419" s="1"/>
      <c r="AZ419" s="1"/>
    </row>
    <row r="420" spans="27:52" x14ac:dyDescent="0.25">
      <c r="AA420" s="1"/>
      <c r="AB420" s="1"/>
      <c r="AC420" s="31"/>
      <c r="AD420" s="32"/>
      <c r="AE420" s="33">
        <f t="shared" si="34"/>
        <v>19</v>
      </c>
      <c r="AF420" s="41">
        <f t="shared" si="35"/>
        <v>-6</v>
      </c>
      <c r="AG420" s="42">
        <f t="shared" si="36"/>
        <v>0</v>
      </c>
      <c r="AH420" s="42">
        <f t="shared" si="37"/>
        <v>-6</v>
      </c>
      <c r="AI420" s="43">
        <f t="shared" si="38"/>
        <v>0.01</v>
      </c>
      <c r="AJ420" s="2"/>
      <c r="AK420" s="2"/>
      <c r="AL420" s="3"/>
      <c r="AM420" s="1"/>
      <c r="AN420" s="3"/>
      <c r="AO420" s="2"/>
      <c r="AP420" s="4"/>
      <c r="AQ420" s="2"/>
      <c r="AR420" s="5"/>
      <c r="AS420" s="1"/>
      <c r="AT420" s="1"/>
      <c r="AU420" s="1"/>
      <c r="AV420" s="1"/>
      <c r="AW420" s="1"/>
      <c r="AX420" s="1"/>
      <c r="AY420" s="1"/>
      <c r="AZ420" s="1"/>
    </row>
    <row r="421" spans="27:52" x14ac:dyDescent="0.25">
      <c r="AA421" s="1"/>
      <c r="AB421" s="1"/>
      <c r="AC421" s="31"/>
      <c r="AD421" s="32"/>
      <c r="AE421" s="33">
        <f t="shared" si="34"/>
        <v>19</v>
      </c>
      <c r="AF421" s="41">
        <f t="shared" si="35"/>
        <v>-6</v>
      </c>
      <c r="AG421" s="42">
        <f t="shared" si="36"/>
        <v>0</v>
      </c>
      <c r="AH421" s="42">
        <f t="shared" si="37"/>
        <v>-6</v>
      </c>
      <c r="AI421" s="43">
        <f t="shared" si="38"/>
        <v>0.01</v>
      </c>
      <c r="AJ421" s="2"/>
      <c r="AK421" s="2"/>
      <c r="AL421" s="3"/>
      <c r="AM421" s="1"/>
      <c r="AN421" s="3"/>
      <c r="AO421" s="2"/>
      <c r="AP421" s="4"/>
      <c r="AQ421" s="2"/>
      <c r="AR421" s="5"/>
      <c r="AS421" s="1"/>
      <c r="AT421" s="1"/>
      <c r="AU421" s="1"/>
      <c r="AV421" s="1"/>
      <c r="AW421" s="1"/>
      <c r="AX421" s="1"/>
      <c r="AY421" s="1"/>
      <c r="AZ421" s="1"/>
    </row>
    <row r="422" spans="27:52" x14ac:dyDescent="0.25">
      <c r="AA422" s="1"/>
      <c r="AB422" s="1"/>
      <c r="AC422" s="31"/>
      <c r="AD422" s="32"/>
      <c r="AE422" s="33">
        <f t="shared" si="34"/>
        <v>19</v>
      </c>
      <c r="AF422" s="41">
        <f t="shared" si="35"/>
        <v>-6</v>
      </c>
      <c r="AG422" s="42">
        <f t="shared" si="36"/>
        <v>0</v>
      </c>
      <c r="AH422" s="42">
        <f t="shared" si="37"/>
        <v>-6</v>
      </c>
      <c r="AI422" s="43">
        <f t="shared" si="38"/>
        <v>0.01</v>
      </c>
      <c r="AJ422" s="2"/>
      <c r="AK422" s="2"/>
      <c r="AL422" s="3"/>
      <c r="AM422" s="1"/>
      <c r="AN422" s="3"/>
      <c r="AO422" s="2"/>
      <c r="AP422" s="4"/>
      <c r="AQ422" s="2"/>
      <c r="AR422" s="5"/>
      <c r="AS422" s="1"/>
      <c r="AT422" s="1"/>
      <c r="AU422" s="1"/>
      <c r="AV422" s="1"/>
      <c r="AW422" s="1"/>
      <c r="AX422" s="1"/>
      <c r="AY422" s="1"/>
      <c r="AZ422" s="1"/>
    </row>
    <row r="423" spans="27:52" x14ac:dyDescent="0.25">
      <c r="AA423" s="1"/>
      <c r="AB423" s="1"/>
      <c r="AC423" s="31"/>
      <c r="AD423" s="32"/>
      <c r="AE423" s="33">
        <f t="shared" si="34"/>
        <v>19</v>
      </c>
      <c r="AF423" s="41">
        <f t="shared" si="35"/>
        <v>-6</v>
      </c>
      <c r="AG423" s="42">
        <f t="shared" si="36"/>
        <v>0</v>
      </c>
      <c r="AH423" s="42">
        <f t="shared" si="37"/>
        <v>-6</v>
      </c>
      <c r="AI423" s="43">
        <f t="shared" si="38"/>
        <v>0.01</v>
      </c>
      <c r="AJ423" s="2"/>
      <c r="AK423" s="2"/>
      <c r="AL423" s="3"/>
      <c r="AM423" s="1"/>
      <c r="AN423" s="3"/>
      <c r="AO423" s="2"/>
      <c r="AP423" s="4"/>
      <c r="AQ423" s="2"/>
      <c r="AR423" s="5"/>
      <c r="AS423" s="1"/>
      <c r="AT423" s="1"/>
      <c r="AU423" s="1"/>
      <c r="AV423" s="1"/>
      <c r="AW423" s="1"/>
      <c r="AX423" s="1"/>
      <c r="AY423" s="1"/>
      <c r="AZ423" s="1"/>
    </row>
    <row r="424" spans="27:52" x14ac:dyDescent="0.25">
      <c r="AA424" s="1"/>
      <c r="AB424" s="1"/>
      <c r="AC424" s="31"/>
      <c r="AD424" s="32"/>
      <c r="AE424" s="33">
        <f t="shared" si="34"/>
        <v>19</v>
      </c>
      <c r="AF424" s="41">
        <f t="shared" si="35"/>
        <v>-6</v>
      </c>
      <c r="AG424" s="42">
        <f t="shared" si="36"/>
        <v>0</v>
      </c>
      <c r="AH424" s="42">
        <f t="shared" si="37"/>
        <v>-6</v>
      </c>
      <c r="AI424" s="43">
        <f t="shared" si="38"/>
        <v>0.01</v>
      </c>
      <c r="AJ424" s="2"/>
      <c r="AK424" s="2"/>
      <c r="AL424" s="3"/>
      <c r="AM424" s="1"/>
      <c r="AN424" s="3"/>
      <c r="AO424" s="2"/>
      <c r="AP424" s="4"/>
      <c r="AQ424" s="2"/>
      <c r="AR424" s="5"/>
      <c r="AS424" s="1"/>
      <c r="AT424" s="1"/>
      <c r="AU424" s="1"/>
      <c r="AV424" s="1"/>
      <c r="AW424" s="1"/>
      <c r="AX424" s="1"/>
      <c r="AY424" s="1"/>
      <c r="AZ424" s="1"/>
    </row>
    <row r="425" spans="27:52" x14ac:dyDescent="0.25">
      <c r="AA425" s="1"/>
      <c r="AB425" s="1"/>
      <c r="AC425" s="31"/>
      <c r="AD425" s="32"/>
      <c r="AE425" s="33">
        <f t="shared" si="34"/>
        <v>19</v>
      </c>
      <c r="AF425" s="41">
        <f t="shared" si="35"/>
        <v>-6</v>
      </c>
      <c r="AG425" s="42">
        <f t="shared" si="36"/>
        <v>0</v>
      </c>
      <c r="AH425" s="42">
        <f t="shared" si="37"/>
        <v>-6</v>
      </c>
      <c r="AI425" s="43">
        <f t="shared" si="38"/>
        <v>0.01</v>
      </c>
      <c r="AJ425" s="2"/>
      <c r="AK425" s="2"/>
      <c r="AL425" s="3"/>
      <c r="AM425" s="1"/>
      <c r="AN425" s="3"/>
      <c r="AO425" s="2"/>
      <c r="AP425" s="4"/>
      <c r="AQ425" s="2"/>
      <c r="AR425" s="5"/>
      <c r="AS425" s="1"/>
      <c r="AT425" s="1"/>
      <c r="AU425" s="1"/>
      <c r="AV425" s="1"/>
      <c r="AW425" s="1"/>
      <c r="AX425" s="1"/>
      <c r="AY425" s="1"/>
      <c r="AZ425" s="1"/>
    </row>
    <row r="426" spans="27:52" x14ac:dyDescent="0.25">
      <c r="AA426" s="1"/>
      <c r="AB426" s="1"/>
      <c r="AC426" s="31"/>
      <c r="AD426" s="32"/>
      <c r="AE426" s="33">
        <f t="shared" si="34"/>
        <v>19</v>
      </c>
      <c r="AF426" s="41">
        <f t="shared" si="35"/>
        <v>-6</v>
      </c>
      <c r="AG426" s="42">
        <f t="shared" si="36"/>
        <v>0</v>
      </c>
      <c r="AH426" s="42">
        <f t="shared" si="37"/>
        <v>-6</v>
      </c>
      <c r="AI426" s="43">
        <f t="shared" si="38"/>
        <v>0.01</v>
      </c>
      <c r="AJ426" s="2"/>
      <c r="AK426" s="2"/>
      <c r="AL426" s="3"/>
      <c r="AM426" s="1"/>
      <c r="AN426" s="3"/>
      <c r="AO426" s="2"/>
      <c r="AP426" s="4"/>
      <c r="AQ426" s="2"/>
      <c r="AR426" s="5"/>
      <c r="AS426" s="1"/>
      <c r="AT426" s="1"/>
      <c r="AU426" s="1"/>
      <c r="AV426" s="1"/>
      <c r="AW426" s="1"/>
      <c r="AX426" s="1"/>
      <c r="AY426" s="1"/>
      <c r="AZ426" s="1"/>
    </row>
    <row r="427" spans="27:52" x14ac:dyDescent="0.25">
      <c r="AA427" s="1"/>
      <c r="AB427" s="1"/>
      <c r="AC427" s="31"/>
      <c r="AD427" s="32"/>
      <c r="AE427" s="33">
        <f t="shared" si="34"/>
        <v>19</v>
      </c>
      <c r="AF427" s="41">
        <f t="shared" si="35"/>
        <v>-6</v>
      </c>
      <c r="AG427" s="42">
        <f t="shared" si="36"/>
        <v>0</v>
      </c>
      <c r="AH427" s="42">
        <f t="shared" si="37"/>
        <v>-6</v>
      </c>
      <c r="AI427" s="43">
        <f t="shared" si="38"/>
        <v>0.01</v>
      </c>
      <c r="AJ427" s="2"/>
      <c r="AK427" s="2"/>
      <c r="AL427" s="3"/>
      <c r="AM427" s="1"/>
      <c r="AN427" s="3"/>
      <c r="AO427" s="2"/>
      <c r="AP427" s="4"/>
      <c r="AQ427" s="2"/>
      <c r="AR427" s="5"/>
      <c r="AS427" s="1"/>
      <c r="AT427" s="1"/>
      <c r="AU427" s="1"/>
      <c r="AV427" s="1"/>
      <c r="AW427" s="1"/>
      <c r="AX427" s="1"/>
      <c r="AY427" s="1"/>
      <c r="AZ427" s="1"/>
    </row>
    <row r="428" spans="27:52" x14ac:dyDescent="0.25">
      <c r="AA428" s="1"/>
      <c r="AB428" s="1"/>
      <c r="AC428" s="31"/>
      <c r="AD428" s="32"/>
      <c r="AE428" s="33">
        <f t="shared" si="34"/>
        <v>19</v>
      </c>
      <c r="AF428" s="41">
        <f t="shared" si="35"/>
        <v>-6</v>
      </c>
      <c r="AG428" s="42">
        <f t="shared" si="36"/>
        <v>0</v>
      </c>
      <c r="AH428" s="42">
        <f t="shared" si="37"/>
        <v>-6</v>
      </c>
      <c r="AI428" s="43">
        <f t="shared" si="38"/>
        <v>0.01</v>
      </c>
      <c r="AJ428" s="2"/>
      <c r="AK428" s="2"/>
      <c r="AL428" s="3"/>
      <c r="AM428" s="1"/>
      <c r="AN428" s="3"/>
      <c r="AO428" s="2"/>
      <c r="AP428" s="4"/>
      <c r="AQ428" s="2"/>
      <c r="AR428" s="5"/>
      <c r="AS428" s="1"/>
      <c r="AT428" s="1"/>
      <c r="AU428" s="1"/>
      <c r="AV428" s="1"/>
      <c r="AW428" s="1"/>
      <c r="AX428" s="1"/>
      <c r="AY428" s="1"/>
      <c r="AZ428" s="1"/>
    </row>
    <row r="429" spans="27:52" x14ac:dyDescent="0.25">
      <c r="AA429" s="1"/>
      <c r="AB429" s="1"/>
      <c r="AC429" s="31"/>
      <c r="AD429" s="32"/>
      <c r="AE429" s="33">
        <f t="shared" si="34"/>
        <v>19</v>
      </c>
      <c r="AF429" s="41">
        <f t="shared" si="35"/>
        <v>-6</v>
      </c>
      <c r="AG429" s="42">
        <f t="shared" si="36"/>
        <v>0</v>
      </c>
      <c r="AH429" s="42">
        <f t="shared" si="37"/>
        <v>-6</v>
      </c>
      <c r="AI429" s="43">
        <f t="shared" si="38"/>
        <v>0.01</v>
      </c>
      <c r="AJ429" s="2"/>
      <c r="AK429" s="2"/>
      <c r="AL429" s="3"/>
      <c r="AM429" s="1"/>
      <c r="AN429" s="3"/>
      <c r="AO429" s="2"/>
      <c r="AP429" s="4"/>
      <c r="AQ429" s="2"/>
      <c r="AR429" s="5"/>
      <c r="AS429" s="1"/>
      <c r="AT429" s="1"/>
      <c r="AU429" s="1"/>
      <c r="AV429" s="1"/>
      <c r="AW429" s="1"/>
      <c r="AX429" s="1"/>
      <c r="AY429" s="1"/>
      <c r="AZ429" s="1"/>
    </row>
    <row r="430" spans="27:52" x14ac:dyDescent="0.25">
      <c r="AA430" s="1"/>
      <c r="AB430" s="1"/>
      <c r="AC430" s="31"/>
      <c r="AD430" s="32"/>
      <c r="AE430" s="33">
        <f t="shared" si="34"/>
        <v>19</v>
      </c>
      <c r="AF430" s="41">
        <f t="shared" si="35"/>
        <v>-6</v>
      </c>
      <c r="AG430" s="42">
        <f t="shared" si="36"/>
        <v>0</v>
      </c>
      <c r="AH430" s="42">
        <f t="shared" si="37"/>
        <v>-6</v>
      </c>
      <c r="AI430" s="43">
        <f t="shared" si="38"/>
        <v>0.01</v>
      </c>
      <c r="AJ430" s="2"/>
      <c r="AK430" s="2"/>
      <c r="AL430" s="3"/>
      <c r="AM430" s="1"/>
      <c r="AN430" s="3"/>
      <c r="AO430" s="2"/>
      <c r="AP430" s="4"/>
      <c r="AQ430" s="2"/>
      <c r="AR430" s="5"/>
      <c r="AS430" s="1"/>
      <c r="AT430" s="1"/>
      <c r="AU430" s="1"/>
      <c r="AV430" s="1"/>
      <c r="AW430" s="1"/>
      <c r="AX430" s="1"/>
      <c r="AY430" s="1"/>
      <c r="AZ430" s="1"/>
    </row>
    <row r="431" spans="27:52" x14ac:dyDescent="0.25">
      <c r="AA431" s="1"/>
      <c r="AB431" s="1"/>
      <c r="AC431" s="31"/>
      <c r="AD431" s="32"/>
      <c r="AE431" s="33">
        <f t="shared" si="34"/>
        <v>19</v>
      </c>
      <c r="AF431" s="41">
        <f t="shared" si="35"/>
        <v>-6</v>
      </c>
      <c r="AG431" s="42">
        <f t="shared" si="36"/>
        <v>0</v>
      </c>
      <c r="AH431" s="42">
        <f t="shared" si="37"/>
        <v>-6</v>
      </c>
      <c r="AI431" s="43">
        <f t="shared" si="38"/>
        <v>0.01</v>
      </c>
      <c r="AJ431" s="2"/>
      <c r="AK431" s="2"/>
      <c r="AL431" s="3"/>
      <c r="AM431" s="1"/>
      <c r="AN431" s="3"/>
      <c r="AO431" s="2"/>
      <c r="AP431" s="4"/>
      <c r="AQ431" s="2"/>
      <c r="AR431" s="5"/>
      <c r="AS431" s="1"/>
      <c r="AT431" s="1"/>
      <c r="AU431" s="1"/>
      <c r="AV431" s="1"/>
      <c r="AW431" s="1"/>
      <c r="AX431" s="1"/>
      <c r="AY431" s="1"/>
      <c r="AZ431" s="1"/>
    </row>
    <row r="432" spans="27:52" x14ac:dyDescent="0.25">
      <c r="AA432" s="1"/>
      <c r="AB432" s="1"/>
      <c r="AC432" s="31"/>
      <c r="AD432" s="32"/>
      <c r="AE432" s="33">
        <f t="shared" si="34"/>
        <v>19</v>
      </c>
      <c r="AF432" s="41">
        <f t="shared" si="35"/>
        <v>-6</v>
      </c>
      <c r="AG432" s="42">
        <f t="shared" si="36"/>
        <v>0</v>
      </c>
      <c r="AH432" s="42">
        <f t="shared" si="37"/>
        <v>-6</v>
      </c>
      <c r="AI432" s="43">
        <f t="shared" si="38"/>
        <v>0.01</v>
      </c>
      <c r="AJ432" s="2"/>
      <c r="AK432" s="2"/>
      <c r="AL432" s="3"/>
      <c r="AM432" s="1"/>
      <c r="AN432" s="3"/>
      <c r="AO432" s="2"/>
      <c r="AP432" s="4"/>
      <c r="AQ432" s="2"/>
      <c r="AR432" s="5"/>
      <c r="AS432" s="1"/>
      <c r="AT432" s="1"/>
      <c r="AU432" s="1"/>
      <c r="AV432" s="1"/>
      <c r="AW432" s="1"/>
      <c r="AX432" s="1"/>
      <c r="AY432" s="1"/>
      <c r="AZ432" s="1"/>
    </row>
    <row r="433" spans="27:52" x14ac:dyDescent="0.25">
      <c r="AA433" s="1"/>
      <c r="AB433" s="1"/>
      <c r="AC433" s="31"/>
      <c r="AD433" s="32"/>
      <c r="AE433" s="33">
        <f t="shared" si="34"/>
        <v>19</v>
      </c>
      <c r="AF433" s="41">
        <f t="shared" si="35"/>
        <v>-6</v>
      </c>
      <c r="AG433" s="42">
        <f t="shared" si="36"/>
        <v>0</v>
      </c>
      <c r="AH433" s="42">
        <f t="shared" si="37"/>
        <v>-6</v>
      </c>
      <c r="AI433" s="43">
        <f t="shared" si="38"/>
        <v>0.01</v>
      </c>
      <c r="AJ433" s="2"/>
      <c r="AK433" s="2"/>
      <c r="AL433" s="3"/>
      <c r="AM433" s="1"/>
      <c r="AN433" s="3"/>
      <c r="AO433" s="2"/>
      <c r="AP433" s="4"/>
      <c r="AQ433" s="2"/>
      <c r="AR433" s="5"/>
      <c r="AS433" s="1"/>
      <c r="AT433" s="1"/>
      <c r="AU433" s="1"/>
      <c r="AV433" s="1"/>
      <c r="AW433" s="1"/>
      <c r="AX433" s="1"/>
      <c r="AY433" s="1"/>
      <c r="AZ433" s="1"/>
    </row>
    <row r="434" spans="27:52" x14ac:dyDescent="0.25">
      <c r="AA434" s="1"/>
      <c r="AB434" s="1"/>
      <c r="AC434" s="31"/>
      <c r="AD434" s="32"/>
      <c r="AE434" s="33">
        <f t="shared" si="34"/>
        <v>19</v>
      </c>
      <c r="AF434" s="41">
        <f t="shared" si="35"/>
        <v>-6</v>
      </c>
      <c r="AG434" s="42">
        <f t="shared" si="36"/>
        <v>0</v>
      </c>
      <c r="AH434" s="42">
        <f t="shared" si="37"/>
        <v>-6</v>
      </c>
      <c r="AI434" s="43">
        <f t="shared" si="38"/>
        <v>0.01</v>
      </c>
      <c r="AJ434" s="2"/>
      <c r="AK434" s="2"/>
      <c r="AL434" s="3"/>
      <c r="AM434" s="1"/>
      <c r="AN434" s="3"/>
      <c r="AO434" s="2"/>
      <c r="AP434" s="4"/>
      <c r="AQ434" s="2"/>
      <c r="AR434" s="5"/>
      <c r="AS434" s="1"/>
      <c r="AT434" s="1"/>
      <c r="AU434" s="1"/>
      <c r="AV434" s="1"/>
      <c r="AW434" s="1"/>
      <c r="AX434" s="1"/>
      <c r="AY434" s="1"/>
      <c r="AZ434" s="1"/>
    </row>
    <row r="435" spans="27:52" x14ac:dyDescent="0.25">
      <c r="AA435" s="1"/>
      <c r="AB435" s="1"/>
      <c r="AC435" s="31"/>
      <c r="AD435" s="32"/>
      <c r="AE435" s="33">
        <f t="shared" si="34"/>
        <v>19</v>
      </c>
      <c r="AF435" s="41">
        <f t="shared" si="35"/>
        <v>-6</v>
      </c>
      <c r="AG435" s="42">
        <f t="shared" si="36"/>
        <v>0</v>
      </c>
      <c r="AH435" s="42">
        <f t="shared" si="37"/>
        <v>-6</v>
      </c>
      <c r="AI435" s="43">
        <f t="shared" si="38"/>
        <v>0.01</v>
      </c>
      <c r="AJ435" s="2"/>
      <c r="AK435" s="2"/>
      <c r="AL435" s="3"/>
      <c r="AM435" s="1"/>
      <c r="AN435" s="3"/>
      <c r="AO435" s="2"/>
      <c r="AP435" s="4"/>
      <c r="AQ435" s="2"/>
      <c r="AR435" s="5"/>
      <c r="AS435" s="1"/>
      <c r="AT435" s="1"/>
      <c r="AU435" s="1"/>
      <c r="AV435" s="1"/>
      <c r="AW435" s="1"/>
      <c r="AX435" s="1"/>
      <c r="AY435" s="1"/>
      <c r="AZ435" s="1"/>
    </row>
    <row r="436" spans="27:52" x14ac:dyDescent="0.25">
      <c r="AA436" s="1"/>
      <c r="AB436" s="1"/>
      <c r="AC436" s="31"/>
      <c r="AD436" s="32"/>
      <c r="AE436" s="33">
        <f t="shared" si="34"/>
        <v>19</v>
      </c>
      <c r="AF436" s="41">
        <f t="shared" si="35"/>
        <v>-6</v>
      </c>
      <c r="AG436" s="42">
        <f t="shared" si="36"/>
        <v>0</v>
      </c>
      <c r="AH436" s="42">
        <f t="shared" si="37"/>
        <v>-6</v>
      </c>
      <c r="AI436" s="43">
        <f t="shared" si="38"/>
        <v>0.01</v>
      </c>
      <c r="AJ436" s="2"/>
      <c r="AK436" s="2"/>
      <c r="AL436" s="3"/>
      <c r="AM436" s="1"/>
      <c r="AN436" s="3"/>
      <c r="AO436" s="2"/>
      <c r="AP436" s="4"/>
      <c r="AQ436" s="2"/>
      <c r="AR436" s="5"/>
      <c r="AS436" s="1"/>
      <c r="AT436" s="1"/>
      <c r="AU436" s="1"/>
      <c r="AV436" s="1"/>
      <c r="AW436" s="1"/>
      <c r="AX436" s="1"/>
      <c r="AY436" s="1"/>
      <c r="AZ436" s="1"/>
    </row>
    <row r="437" spans="27:52" x14ac:dyDescent="0.25">
      <c r="AA437" s="1"/>
      <c r="AB437" s="1"/>
      <c r="AC437" s="31"/>
      <c r="AD437" s="32"/>
      <c r="AE437" s="33">
        <f t="shared" si="34"/>
        <v>19</v>
      </c>
      <c r="AF437" s="41">
        <f t="shared" si="35"/>
        <v>-6</v>
      </c>
      <c r="AG437" s="42">
        <f t="shared" si="36"/>
        <v>0</v>
      </c>
      <c r="AH437" s="42">
        <f t="shared" si="37"/>
        <v>-6</v>
      </c>
      <c r="AI437" s="43">
        <f t="shared" si="38"/>
        <v>0.01</v>
      </c>
      <c r="AJ437" s="2"/>
      <c r="AK437" s="2"/>
      <c r="AL437" s="3"/>
      <c r="AM437" s="1"/>
      <c r="AN437" s="3"/>
      <c r="AO437" s="2"/>
      <c r="AP437" s="4"/>
      <c r="AQ437" s="2"/>
      <c r="AR437" s="5"/>
      <c r="AS437" s="1"/>
      <c r="AT437" s="1"/>
      <c r="AU437" s="1"/>
      <c r="AV437" s="1"/>
      <c r="AW437" s="1"/>
      <c r="AX437" s="1"/>
      <c r="AY437" s="1"/>
      <c r="AZ437" s="1"/>
    </row>
    <row r="438" spans="27:52" x14ac:dyDescent="0.25">
      <c r="AA438" s="1"/>
      <c r="AB438" s="1"/>
      <c r="AC438" s="31"/>
      <c r="AD438" s="32"/>
      <c r="AE438" s="33">
        <f t="shared" si="34"/>
        <v>19</v>
      </c>
      <c r="AF438" s="41">
        <f t="shared" si="35"/>
        <v>-6</v>
      </c>
      <c r="AG438" s="42">
        <f t="shared" si="36"/>
        <v>0</v>
      </c>
      <c r="AH438" s="42">
        <f t="shared" si="37"/>
        <v>-6</v>
      </c>
      <c r="AI438" s="43">
        <f t="shared" si="38"/>
        <v>0.01</v>
      </c>
      <c r="AJ438" s="2"/>
      <c r="AK438" s="2"/>
      <c r="AL438" s="3"/>
      <c r="AM438" s="1"/>
      <c r="AN438" s="3"/>
      <c r="AO438" s="2"/>
      <c r="AP438" s="4"/>
      <c r="AQ438" s="2"/>
      <c r="AR438" s="5"/>
      <c r="AS438" s="1"/>
      <c r="AT438" s="1"/>
      <c r="AU438" s="1"/>
      <c r="AV438" s="1"/>
      <c r="AW438" s="1"/>
      <c r="AX438" s="1"/>
      <c r="AY438" s="1"/>
      <c r="AZ438" s="1"/>
    </row>
    <row r="439" spans="27:52" x14ac:dyDescent="0.25">
      <c r="AA439" s="1"/>
      <c r="AB439" s="1"/>
      <c r="AC439" s="31"/>
      <c r="AD439" s="32"/>
      <c r="AE439" s="33">
        <f t="shared" si="34"/>
        <v>19</v>
      </c>
      <c r="AF439" s="41">
        <f t="shared" si="35"/>
        <v>-6</v>
      </c>
      <c r="AG439" s="42">
        <f t="shared" si="36"/>
        <v>0</v>
      </c>
      <c r="AH439" s="42">
        <f t="shared" si="37"/>
        <v>-6</v>
      </c>
      <c r="AI439" s="43">
        <f t="shared" si="38"/>
        <v>0.01</v>
      </c>
      <c r="AJ439" s="2"/>
      <c r="AK439" s="2"/>
      <c r="AL439" s="3"/>
      <c r="AM439" s="1"/>
      <c r="AN439" s="3"/>
      <c r="AO439" s="2"/>
      <c r="AP439" s="4"/>
      <c r="AQ439" s="2"/>
      <c r="AR439" s="5"/>
      <c r="AS439" s="1"/>
      <c r="AT439" s="1"/>
      <c r="AU439" s="1"/>
      <c r="AV439" s="1"/>
      <c r="AW439" s="1"/>
      <c r="AX439" s="1"/>
      <c r="AY439" s="1"/>
      <c r="AZ439" s="1"/>
    </row>
    <row r="440" spans="27:52" x14ac:dyDescent="0.25">
      <c r="AA440" s="1"/>
      <c r="AB440" s="1"/>
      <c r="AC440" s="31"/>
      <c r="AD440" s="32"/>
      <c r="AE440" s="33">
        <f t="shared" si="34"/>
        <v>19</v>
      </c>
      <c r="AF440" s="41">
        <f t="shared" si="35"/>
        <v>-6</v>
      </c>
      <c r="AG440" s="42">
        <f t="shared" si="36"/>
        <v>0</v>
      </c>
      <c r="AH440" s="42">
        <f t="shared" si="37"/>
        <v>-6</v>
      </c>
      <c r="AI440" s="43">
        <f t="shared" si="38"/>
        <v>0.01</v>
      </c>
      <c r="AJ440" s="2"/>
      <c r="AK440" s="2"/>
      <c r="AL440" s="3"/>
      <c r="AM440" s="1"/>
      <c r="AN440" s="3"/>
      <c r="AO440" s="2"/>
      <c r="AP440" s="4"/>
      <c r="AQ440" s="2"/>
      <c r="AR440" s="5"/>
      <c r="AS440" s="1"/>
      <c r="AT440" s="1"/>
      <c r="AU440" s="1"/>
      <c r="AV440" s="1"/>
      <c r="AW440" s="1"/>
      <c r="AX440" s="1"/>
      <c r="AY440" s="1"/>
      <c r="AZ440" s="1"/>
    </row>
    <row r="441" spans="27:52" x14ac:dyDescent="0.25">
      <c r="AA441" s="1"/>
      <c r="AB441" s="1"/>
      <c r="AC441" s="31"/>
      <c r="AD441" s="32"/>
      <c r="AE441" s="33">
        <f t="shared" si="34"/>
        <v>19</v>
      </c>
      <c r="AF441" s="41">
        <f t="shared" si="35"/>
        <v>-6</v>
      </c>
      <c r="AG441" s="42">
        <f t="shared" si="36"/>
        <v>0</v>
      </c>
      <c r="AH441" s="42">
        <f t="shared" si="37"/>
        <v>-6</v>
      </c>
      <c r="AI441" s="43">
        <f t="shared" si="38"/>
        <v>0.01</v>
      </c>
      <c r="AJ441" s="2"/>
      <c r="AK441" s="2"/>
      <c r="AL441" s="3"/>
      <c r="AM441" s="1"/>
      <c r="AN441" s="3"/>
      <c r="AO441" s="2"/>
      <c r="AP441" s="4"/>
      <c r="AQ441" s="2"/>
      <c r="AR441" s="5"/>
      <c r="AS441" s="1"/>
      <c r="AT441" s="1"/>
      <c r="AU441" s="1"/>
      <c r="AV441" s="1"/>
      <c r="AW441" s="1"/>
      <c r="AX441" s="1"/>
      <c r="AY441" s="1"/>
      <c r="AZ441" s="1"/>
    </row>
    <row r="442" spans="27:52" x14ac:dyDescent="0.25">
      <c r="AA442" s="1"/>
      <c r="AB442" s="1"/>
      <c r="AC442" s="31"/>
      <c r="AD442" s="32"/>
      <c r="AE442" s="33">
        <f t="shared" si="34"/>
        <v>19</v>
      </c>
      <c r="AF442" s="41">
        <f t="shared" si="35"/>
        <v>-6</v>
      </c>
      <c r="AG442" s="42">
        <f t="shared" si="36"/>
        <v>0</v>
      </c>
      <c r="AH442" s="42">
        <f t="shared" si="37"/>
        <v>-6</v>
      </c>
      <c r="AI442" s="43">
        <f t="shared" si="38"/>
        <v>0.01</v>
      </c>
      <c r="AJ442" s="2"/>
      <c r="AK442" s="2"/>
      <c r="AL442" s="3"/>
      <c r="AM442" s="1"/>
      <c r="AN442" s="3"/>
      <c r="AO442" s="2"/>
      <c r="AP442" s="4"/>
      <c r="AQ442" s="2"/>
      <c r="AR442" s="5"/>
      <c r="AS442" s="1"/>
      <c r="AT442" s="1"/>
      <c r="AU442" s="1"/>
      <c r="AV442" s="1"/>
      <c r="AW442" s="1"/>
      <c r="AX442" s="1"/>
      <c r="AY442" s="1"/>
      <c r="AZ442" s="1"/>
    </row>
    <row r="443" spans="27:52" x14ac:dyDescent="0.25">
      <c r="AA443" s="1"/>
      <c r="AB443" s="1"/>
      <c r="AC443" s="31"/>
      <c r="AD443" s="32"/>
      <c r="AE443" s="33">
        <f t="shared" si="34"/>
        <v>19</v>
      </c>
      <c r="AF443" s="41">
        <f t="shared" si="35"/>
        <v>-6</v>
      </c>
      <c r="AG443" s="42">
        <f t="shared" si="36"/>
        <v>0</v>
      </c>
      <c r="AH443" s="42">
        <f t="shared" si="37"/>
        <v>-6</v>
      </c>
      <c r="AI443" s="43">
        <f t="shared" si="38"/>
        <v>0.01</v>
      </c>
      <c r="AJ443" s="2"/>
      <c r="AK443" s="2"/>
      <c r="AL443" s="3"/>
      <c r="AM443" s="1"/>
      <c r="AN443" s="3"/>
      <c r="AO443" s="2"/>
      <c r="AP443" s="4"/>
      <c r="AQ443" s="2"/>
      <c r="AR443" s="5"/>
      <c r="AS443" s="1"/>
      <c r="AT443" s="1"/>
      <c r="AU443" s="1"/>
      <c r="AV443" s="1"/>
      <c r="AW443" s="1"/>
      <c r="AX443" s="1"/>
      <c r="AY443" s="1"/>
      <c r="AZ443" s="1"/>
    </row>
    <row r="444" spans="27:52" x14ac:dyDescent="0.25">
      <c r="AA444" s="1"/>
      <c r="AB444" s="1"/>
      <c r="AC444" s="31"/>
      <c r="AD444" s="32"/>
      <c r="AE444" s="33">
        <f t="shared" si="34"/>
        <v>19</v>
      </c>
      <c r="AF444" s="41">
        <f t="shared" si="35"/>
        <v>-6</v>
      </c>
      <c r="AG444" s="42">
        <f t="shared" si="36"/>
        <v>0</v>
      </c>
      <c r="AH444" s="42">
        <f t="shared" si="37"/>
        <v>-6</v>
      </c>
      <c r="AI444" s="43">
        <f t="shared" si="38"/>
        <v>0.01</v>
      </c>
      <c r="AJ444" s="2"/>
      <c r="AK444" s="2"/>
      <c r="AL444" s="3"/>
      <c r="AM444" s="1"/>
      <c r="AN444" s="3"/>
      <c r="AO444" s="2"/>
      <c r="AP444" s="4"/>
      <c r="AQ444" s="2"/>
      <c r="AR444" s="5"/>
      <c r="AS444" s="1"/>
      <c r="AT444" s="1"/>
      <c r="AU444" s="1"/>
      <c r="AV444" s="1"/>
      <c r="AW444" s="1"/>
      <c r="AX444" s="1"/>
      <c r="AY444" s="1"/>
      <c r="AZ444" s="1"/>
    </row>
    <row r="445" spans="27:52" x14ac:dyDescent="0.25">
      <c r="AA445" s="1"/>
      <c r="AB445" s="1"/>
      <c r="AC445" s="31"/>
      <c r="AD445" s="32"/>
      <c r="AE445" s="33">
        <f t="shared" si="34"/>
        <v>19</v>
      </c>
      <c r="AF445" s="41">
        <f t="shared" si="35"/>
        <v>-6</v>
      </c>
      <c r="AG445" s="42">
        <f t="shared" si="36"/>
        <v>0</v>
      </c>
      <c r="AH445" s="42">
        <f t="shared" si="37"/>
        <v>-6</v>
      </c>
      <c r="AI445" s="43">
        <f t="shared" si="38"/>
        <v>0.01</v>
      </c>
      <c r="AJ445" s="2"/>
      <c r="AK445" s="2"/>
      <c r="AL445" s="3"/>
      <c r="AM445" s="1"/>
      <c r="AN445" s="3"/>
      <c r="AO445" s="2"/>
      <c r="AP445" s="4"/>
      <c r="AQ445" s="2"/>
      <c r="AR445" s="5"/>
      <c r="AS445" s="1"/>
      <c r="AT445" s="1"/>
      <c r="AU445" s="1"/>
      <c r="AV445" s="1"/>
      <c r="AW445" s="1"/>
      <c r="AX445" s="1"/>
      <c r="AY445" s="1"/>
      <c r="AZ445" s="1"/>
    </row>
    <row r="446" spans="27:52" x14ac:dyDescent="0.25">
      <c r="AA446" s="1"/>
      <c r="AB446" s="1"/>
      <c r="AC446" s="31"/>
      <c r="AD446" s="32"/>
      <c r="AE446" s="33">
        <f t="shared" si="34"/>
        <v>19</v>
      </c>
      <c r="AF446" s="41">
        <f t="shared" si="35"/>
        <v>-6</v>
      </c>
      <c r="AG446" s="42">
        <f t="shared" si="36"/>
        <v>0</v>
      </c>
      <c r="AH446" s="42">
        <f t="shared" si="37"/>
        <v>-6</v>
      </c>
      <c r="AI446" s="43">
        <f t="shared" si="38"/>
        <v>0.01</v>
      </c>
      <c r="AJ446" s="2"/>
      <c r="AK446" s="2"/>
      <c r="AL446" s="3"/>
      <c r="AM446" s="1"/>
      <c r="AN446" s="3"/>
      <c r="AO446" s="2"/>
      <c r="AP446" s="4"/>
      <c r="AQ446" s="2"/>
      <c r="AR446" s="5"/>
      <c r="AS446" s="1"/>
      <c r="AT446" s="1"/>
      <c r="AU446" s="1"/>
      <c r="AV446" s="1"/>
      <c r="AW446" s="1"/>
      <c r="AX446" s="1"/>
      <c r="AY446" s="1"/>
      <c r="AZ446" s="1"/>
    </row>
    <row r="447" spans="27:52" x14ac:dyDescent="0.25">
      <c r="AA447" s="1"/>
      <c r="AB447" s="1"/>
      <c r="AC447" s="31"/>
      <c r="AD447" s="32"/>
      <c r="AE447" s="33">
        <f t="shared" si="34"/>
        <v>19</v>
      </c>
      <c r="AF447" s="41">
        <f t="shared" si="35"/>
        <v>-6</v>
      </c>
      <c r="AG447" s="42">
        <f t="shared" si="36"/>
        <v>0</v>
      </c>
      <c r="AH447" s="42">
        <f t="shared" si="37"/>
        <v>-6</v>
      </c>
      <c r="AI447" s="43">
        <f t="shared" si="38"/>
        <v>0.01</v>
      </c>
      <c r="AJ447" s="2"/>
      <c r="AK447" s="2"/>
      <c r="AL447" s="3"/>
      <c r="AM447" s="1"/>
      <c r="AN447" s="3"/>
      <c r="AO447" s="2"/>
      <c r="AP447" s="4"/>
      <c r="AQ447" s="2"/>
      <c r="AR447" s="5"/>
      <c r="AS447" s="1"/>
      <c r="AT447" s="1"/>
      <c r="AU447" s="1"/>
      <c r="AV447" s="1"/>
      <c r="AW447" s="1"/>
      <c r="AX447" s="1"/>
      <c r="AY447" s="1"/>
      <c r="AZ447" s="1"/>
    </row>
    <row r="448" spans="27:52" x14ac:dyDescent="0.25">
      <c r="AA448" s="1"/>
      <c r="AB448" s="1"/>
      <c r="AC448" s="31"/>
      <c r="AD448" s="32"/>
      <c r="AE448" s="33">
        <f t="shared" si="34"/>
        <v>19</v>
      </c>
      <c r="AF448" s="41">
        <f t="shared" si="35"/>
        <v>-6</v>
      </c>
      <c r="AG448" s="42">
        <f t="shared" si="36"/>
        <v>0</v>
      </c>
      <c r="AH448" s="42">
        <f t="shared" si="37"/>
        <v>-6</v>
      </c>
      <c r="AI448" s="43">
        <f t="shared" si="38"/>
        <v>0.01</v>
      </c>
      <c r="AJ448" s="2"/>
      <c r="AK448" s="2"/>
      <c r="AL448" s="3"/>
      <c r="AM448" s="1"/>
      <c r="AN448" s="3"/>
      <c r="AO448" s="2"/>
      <c r="AP448" s="4"/>
      <c r="AQ448" s="2"/>
      <c r="AR448" s="5"/>
      <c r="AS448" s="1"/>
      <c r="AT448" s="1"/>
      <c r="AU448" s="1"/>
      <c r="AV448" s="1"/>
      <c r="AW448" s="1"/>
      <c r="AX448" s="1"/>
      <c r="AY448" s="1"/>
      <c r="AZ448" s="1"/>
    </row>
    <row r="449" spans="27:52" x14ac:dyDescent="0.25">
      <c r="AA449" s="1"/>
      <c r="AB449" s="1"/>
      <c r="AC449" s="31"/>
      <c r="AD449" s="32"/>
      <c r="AE449" s="33">
        <f t="shared" si="34"/>
        <v>19</v>
      </c>
      <c r="AF449" s="41">
        <f t="shared" si="35"/>
        <v>-6</v>
      </c>
      <c r="AG449" s="42">
        <f t="shared" si="36"/>
        <v>0</v>
      </c>
      <c r="AH449" s="42">
        <f t="shared" si="37"/>
        <v>-6</v>
      </c>
      <c r="AI449" s="43">
        <f t="shared" si="38"/>
        <v>0.01</v>
      </c>
      <c r="AJ449" s="2"/>
      <c r="AK449" s="2"/>
      <c r="AL449" s="3"/>
      <c r="AM449" s="1"/>
      <c r="AN449" s="3"/>
      <c r="AO449" s="2"/>
      <c r="AP449" s="4"/>
      <c r="AQ449" s="2"/>
      <c r="AR449" s="5"/>
      <c r="AS449" s="1"/>
      <c r="AT449" s="1"/>
      <c r="AU449" s="1"/>
      <c r="AV449" s="1"/>
      <c r="AW449" s="1"/>
      <c r="AX449" s="1"/>
      <c r="AY449" s="1"/>
      <c r="AZ449" s="1"/>
    </row>
    <row r="450" spans="27:52" x14ac:dyDescent="0.25">
      <c r="AA450" s="1"/>
      <c r="AB450" s="1"/>
      <c r="AC450" s="31"/>
      <c r="AD450" s="32"/>
      <c r="AE450" s="33">
        <f t="shared" si="34"/>
        <v>19</v>
      </c>
      <c r="AF450" s="41">
        <f t="shared" si="35"/>
        <v>-6</v>
      </c>
      <c r="AG450" s="42">
        <f t="shared" si="36"/>
        <v>0</v>
      </c>
      <c r="AH450" s="42">
        <f t="shared" si="37"/>
        <v>-6</v>
      </c>
      <c r="AI450" s="43">
        <f t="shared" si="38"/>
        <v>0.01</v>
      </c>
      <c r="AJ450" s="2"/>
      <c r="AK450" s="2"/>
      <c r="AL450" s="3"/>
      <c r="AM450" s="1"/>
      <c r="AN450" s="3"/>
      <c r="AO450" s="2"/>
      <c r="AP450" s="4"/>
      <c r="AQ450" s="2"/>
      <c r="AR450" s="5"/>
      <c r="AS450" s="1"/>
      <c r="AT450" s="1"/>
      <c r="AU450" s="1"/>
      <c r="AV450" s="1"/>
      <c r="AW450" s="1"/>
      <c r="AX450" s="1"/>
      <c r="AY450" s="1"/>
      <c r="AZ450" s="1"/>
    </row>
    <row r="451" spans="27:52" x14ac:dyDescent="0.25">
      <c r="AA451" s="1"/>
      <c r="AB451" s="1"/>
      <c r="AC451" s="31"/>
      <c r="AD451" s="32"/>
      <c r="AE451" s="33">
        <f t="shared" ref="AE451:AE500" si="39">AE450</f>
        <v>19</v>
      </c>
      <c r="AF451" s="41">
        <f t="shared" si="35"/>
        <v>-6</v>
      </c>
      <c r="AG451" s="42">
        <f t="shared" si="36"/>
        <v>0</v>
      </c>
      <c r="AH451" s="42">
        <f t="shared" si="37"/>
        <v>-6</v>
      </c>
      <c r="AI451" s="43">
        <f t="shared" si="38"/>
        <v>0.01</v>
      </c>
      <c r="AJ451" s="2"/>
      <c r="AK451" s="2"/>
      <c r="AL451" s="3"/>
      <c r="AM451" s="1"/>
      <c r="AN451" s="3"/>
      <c r="AO451" s="2"/>
      <c r="AP451" s="4"/>
      <c r="AQ451" s="2"/>
      <c r="AR451" s="5"/>
      <c r="AS451" s="1"/>
      <c r="AT451" s="1"/>
      <c r="AU451" s="1"/>
      <c r="AV451" s="1"/>
      <c r="AW451" s="1"/>
      <c r="AX451" s="1"/>
      <c r="AY451" s="1"/>
      <c r="AZ451" s="1"/>
    </row>
    <row r="452" spans="27:52" x14ac:dyDescent="0.25">
      <c r="AA452" s="1"/>
      <c r="AB452" s="1"/>
      <c r="AC452" s="31"/>
      <c r="AD452" s="32"/>
      <c r="AE452" s="33">
        <f t="shared" si="39"/>
        <v>19</v>
      </c>
      <c r="AF452" s="41">
        <f t="shared" si="35"/>
        <v>-6</v>
      </c>
      <c r="AG452" s="42">
        <f t="shared" si="36"/>
        <v>0</v>
      </c>
      <c r="AH452" s="42">
        <f t="shared" si="37"/>
        <v>-6</v>
      </c>
      <c r="AI452" s="43">
        <f t="shared" si="38"/>
        <v>0.01</v>
      </c>
      <c r="AJ452" s="2"/>
      <c r="AK452" s="2"/>
      <c r="AL452" s="3"/>
      <c r="AM452" s="1"/>
      <c r="AN452" s="3"/>
      <c r="AO452" s="2"/>
      <c r="AP452" s="4"/>
      <c r="AQ452" s="2"/>
      <c r="AR452" s="5"/>
      <c r="AS452" s="1"/>
      <c r="AT452" s="1"/>
      <c r="AU452" s="1"/>
      <c r="AV452" s="1"/>
      <c r="AW452" s="1"/>
      <c r="AX452" s="1"/>
      <c r="AY452" s="1"/>
      <c r="AZ452" s="1"/>
    </row>
    <row r="453" spans="27:52" x14ac:dyDescent="0.25">
      <c r="AA453" s="1"/>
      <c r="AB453" s="1"/>
      <c r="AC453" s="31"/>
      <c r="AD453" s="32"/>
      <c r="AE453" s="33">
        <f t="shared" si="39"/>
        <v>19</v>
      </c>
      <c r="AF453" s="41">
        <f t="shared" si="35"/>
        <v>-6</v>
      </c>
      <c r="AG453" s="42">
        <f t="shared" si="36"/>
        <v>0</v>
      </c>
      <c r="AH453" s="42">
        <f t="shared" si="37"/>
        <v>-6</v>
      </c>
      <c r="AI453" s="43">
        <f t="shared" si="38"/>
        <v>0.01</v>
      </c>
      <c r="AJ453" s="2"/>
      <c r="AK453" s="2"/>
      <c r="AL453" s="3"/>
      <c r="AM453" s="1"/>
      <c r="AN453" s="3"/>
      <c r="AO453" s="2"/>
      <c r="AP453" s="4"/>
      <c r="AQ453" s="2"/>
      <c r="AR453" s="5"/>
      <c r="AS453" s="1"/>
      <c r="AT453" s="1"/>
      <c r="AU453" s="1"/>
      <c r="AV453" s="1"/>
      <c r="AW453" s="1"/>
      <c r="AX453" s="1"/>
      <c r="AY453" s="1"/>
      <c r="AZ453" s="1"/>
    </row>
    <row r="454" spans="27:52" x14ac:dyDescent="0.25">
      <c r="AA454" s="1"/>
      <c r="AB454" s="1"/>
      <c r="AC454" s="31"/>
      <c r="AD454" s="32"/>
      <c r="AE454" s="33">
        <f t="shared" si="39"/>
        <v>19</v>
      </c>
      <c r="AF454" s="41">
        <f t="shared" si="35"/>
        <v>-6</v>
      </c>
      <c r="AG454" s="42">
        <f t="shared" si="36"/>
        <v>0</v>
      </c>
      <c r="AH454" s="42">
        <f t="shared" si="37"/>
        <v>-6</v>
      </c>
      <c r="AI454" s="43">
        <f t="shared" si="38"/>
        <v>0.01</v>
      </c>
      <c r="AJ454" s="2"/>
      <c r="AK454" s="2"/>
      <c r="AL454" s="3"/>
      <c r="AM454" s="1"/>
      <c r="AN454" s="3"/>
      <c r="AO454" s="2"/>
      <c r="AP454" s="4"/>
      <c r="AQ454" s="2"/>
      <c r="AR454" s="5"/>
      <c r="AS454" s="1"/>
      <c r="AT454" s="1"/>
      <c r="AU454" s="1"/>
      <c r="AV454" s="1"/>
      <c r="AW454" s="1"/>
      <c r="AX454" s="1"/>
      <c r="AY454" s="1"/>
      <c r="AZ454" s="1"/>
    </row>
    <row r="455" spans="27:52" x14ac:dyDescent="0.25">
      <c r="AA455" s="1"/>
      <c r="AB455" s="1"/>
      <c r="AC455" s="31"/>
      <c r="AD455" s="32"/>
      <c r="AE455" s="33">
        <f t="shared" si="39"/>
        <v>19</v>
      </c>
      <c r="AF455" s="41">
        <f t="shared" si="35"/>
        <v>-6</v>
      </c>
      <c r="AG455" s="42">
        <f t="shared" si="36"/>
        <v>0</v>
      </c>
      <c r="AH455" s="42">
        <f t="shared" si="37"/>
        <v>-6</v>
      </c>
      <c r="AI455" s="43">
        <f t="shared" si="38"/>
        <v>0.01</v>
      </c>
      <c r="AJ455" s="2"/>
      <c r="AK455" s="2"/>
      <c r="AL455" s="3"/>
      <c r="AM455" s="1"/>
      <c r="AN455" s="3"/>
      <c r="AO455" s="2"/>
      <c r="AP455" s="4"/>
      <c r="AQ455" s="2"/>
      <c r="AR455" s="5"/>
      <c r="AS455" s="1"/>
      <c r="AT455" s="1"/>
      <c r="AU455" s="1"/>
      <c r="AV455" s="1"/>
      <c r="AW455" s="1"/>
      <c r="AX455" s="1"/>
      <c r="AY455" s="1"/>
      <c r="AZ455" s="1"/>
    </row>
    <row r="456" spans="27:52" x14ac:dyDescent="0.25">
      <c r="AA456" s="1"/>
      <c r="AB456" s="1"/>
      <c r="AC456" s="31"/>
      <c r="AD456" s="32"/>
      <c r="AE456" s="33">
        <f t="shared" si="39"/>
        <v>19</v>
      </c>
      <c r="AF456" s="41">
        <f t="shared" si="35"/>
        <v>-6</v>
      </c>
      <c r="AG456" s="42">
        <f t="shared" si="36"/>
        <v>0</v>
      </c>
      <c r="AH456" s="42">
        <f t="shared" si="37"/>
        <v>-6</v>
      </c>
      <c r="AI456" s="43">
        <f t="shared" si="38"/>
        <v>0.01</v>
      </c>
      <c r="AJ456" s="2"/>
      <c r="AK456" s="2"/>
      <c r="AL456" s="3"/>
      <c r="AM456" s="1"/>
      <c r="AN456" s="3"/>
      <c r="AO456" s="2"/>
      <c r="AP456" s="4"/>
      <c r="AQ456" s="2"/>
      <c r="AR456" s="5"/>
      <c r="AS456" s="1"/>
      <c r="AT456" s="1"/>
      <c r="AU456" s="1"/>
      <c r="AV456" s="1"/>
      <c r="AW456" s="1"/>
      <c r="AX456" s="1"/>
      <c r="AY456" s="1"/>
      <c r="AZ456" s="1"/>
    </row>
    <row r="457" spans="27:52" x14ac:dyDescent="0.25">
      <c r="AA457" s="1"/>
      <c r="AB457" s="1"/>
      <c r="AC457" s="31"/>
      <c r="AD457" s="32"/>
      <c r="AE457" s="33">
        <f t="shared" si="39"/>
        <v>19</v>
      </c>
      <c r="AF457" s="41">
        <f t="shared" si="35"/>
        <v>-6</v>
      </c>
      <c r="AG457" s="42">
        <f t="shared" si="36"/>
        <v>0</v>
      </c>
      <c r="AH457" s="42">
        <f t="shared" si="37"/>
        <v>-6</v>
      </c>
      <c r="AI457" s="43">
        <f t="shared" si="38"/>
        <v>0.01</v>
      </c>
      <c r="AJ457" s="2"/>
      <c r="AK457" s="2"/>
      <c r="AL457" s="3"/>
      <c r="AM457" s="1"/>
      <c r="AN457" s="3"/>
      <c r="AO457" s="2"/>
      <c r="AP457" s="4"/>
      <c r="AQ457" s="2"/>
      <c r="AR457" s="5"/>
      <c r="AS457" s="1"/>
      <c r="AT457" s="1"/>
      <c r="AU457" s="1"/>
      <c r="AV457" s="1"/>
      <c r="AW457" s="1"/>
      <c r="AX457" s="1"/>
      <c r="AY457" s="1"/>
      <c r="AZ457" s="1"/>
    </row>
    <row r="458" spans="27:52" x14ac:dyDescent="0.25">
      <c r="AA458" s="1"/>
      <c r="AB458" s="1"/>
      <c r="AC458" s="31"/>
      <c r="AD458" s="32"/>
      <c r="AE458" s="33">
        <f t="shared" si="39"/>
        <v>19</v>
      </c>
      <c r="AF458" s="41">
        <f t="shared" ref="AF458:AF500" si="40">IF(AF457+(AH457/AE458)&lt;AH457,AH457,AF457+(AH457/AE458))</f>
        <v>-6</v>
      </c>
      <c r="AG458" s="42">
        <f t="shared" ref="AG458:AG500" si="41">AI458*(1-(AF458/AH458))^2</f>
        <v>0</v>
      </c>
      <c r="AH458" s="42">
        <f t="shared" ref="AH458:AH500" si="42">AH457</f>
        <v>-6</v>
      </c>
      <c r="AI458" s="43">
        <f t="shared" ref="AI458:AI500" si="43">AI457</f>
        <v>0.01</v>
      </c>
      <c r="AJ458" s="2"/>
      <c r="AK458" s="2"/>
      <c r="AL458" s="3"/>
      <c r="AM458" s="1"/>
      <c r="AN458" s="3"/>
      <c r="AO458" s="2"/>
      <c r="AP458" s="4"/>
      <c r="AQ458" s="2"/>
      <c r="AR458" s="5"/>
      <c r="AS458" s="1"/>
      <c r="AT458" s="1"/>
      <c r="AU458" s="1"/>
      <c r="AV458" s="1"/>
      <c r="AW458" s="1"/>
      <c r="AX458" s="1"/>
      <c r="AY458" s="1"/>
      <c r="AZ458" s="1"/>
    </row>
    <row r="459" spans="27:52" x14ac:dyDescent="0.25">
      <c r="AA459" s="1"/>
      <c r="AB459" s="1"/>
      <c r="AC459" s="31"/>
      <c r="AD459" s="32"/>
      <c r="AE459" s="33">
        <f t="shared" si="39"/>
        <v>19</v>
      </c>
      <c r="AF459" s="41">
        <f t="shared" si="40"/>
        <v>-6</v>
      </c>
      <c r="AG459" s="42">
        <f t="shared" si="41"/>
        <v>0</v>
      </c>
      <c r="AH459" s="42">
        <f t="shared" si="42"/>
        <v>-6</v>
      </c>
      <c r="AI459" s="43">
        <f t="shared" si="43"/>
        <v>0.01</v>
      </c>
      <c r="AJ459" s="2"/>
      <c r="AK459" s="2"/>
      <c r="AL459" s="3"/>
      <c r="AM459" s="1"/>
      <c r="AN459" s="3"/>
      <c r="AO459" s="2"/>
      <c r="AP459" s="4"/>
      <c r="AQ459" s="2"/>
      <c r="AR459" s="5"/>
      <c r="AS459" s="1"/>
      <c r="AT459" s="1"/>
      <c r="AU459" s="1"/>
      <c r="AV459" s="1"/>
      <c r="AW459" s="1"/>
      <c r="AX459" s="1"/>
      <c r="AY459" s="1"/>
      <c r="AZ459" s="1"/>
    </row>
    <row r="460" spans="27:52" x14ac:dyDescent="0.25">
      <c r="AA460" s="1"/>
      <c r="AB460" s="1"/>
      <c r="AC460" s="31"/>
      <c r="AD460" s="32"/>
      <c r="AE460" s="33">
        <f t="shared" si="39"/>
        <v>19</v>
      </c>
      <c r="AF460" s="41">
        <f t="shared" si="40"/>
        <v>-6</v>
      </c>
      <c r="AG460" s="42">
        <f t="shared" si="41"/>
        <v>0</v>
      </c>
      <c r="AH460" s="42">
        <f t="shared" si="42"/>
        <v>-6</v>
      </c>
      <c r="AI460" s="43">
        <f t="shared" si="43"/>
        <v>0.01</v>
      </c>
      <c r="AJ460" s="2"/>
      <c r="AK460" s="2"/>
      <c r="AL460" s="3"/>
      <c r="AM460" s="1"/>
      <c r="AN460" s="3"/>
      <c r="AO460" s="2"/>
      <c r="AP460" s="4"/>
      <c r="AQ460" s="2"/>
      <c r="AR460" s="5"/>
      <c r="AS460" s="1"/>
      <c r="AT460" s="1"/>
      <c r="AU460" s="1"/>
      <c r="AV460" s="1"/>
      <c r="AW460" s="1"/>
      <c r="AX460" s="1"/>
      <c r="AY460" s="1"/>
      <c r="AZ460" s="1"/>
    </row>
    <row r="461" spans="27:52" x14ac:dyDescent="0.25">
      <c r="AA461" s="1"/>
      <c r="AB461" s="1"/>
      <c r="AC461" s="31"/>
      <c r="AD461" s="32"/>
      <c r="AE461" s="33">
        <f t="shared" si="39"/>
        <v>19</v>
      </c>
      <c r="AF461" s="41">
        <f t="shared" si="40"/>
        <v>-6</v>
      </c>
      <c r="AG461" s="42">
        <f t="shared" si="41"/>
        <v>0</v>
      </c>
      <c r="AH461" s="42">
        <f t="shared" si="42"/>
        <v>-6</v>
      </c>
      <c r="AI461" s="43">
        <f t="shared" si="43"/>
        <v>0.01</v>
      </c>
      <c r="AJ461" s="2"/>
      <c r="AK461" s="2"/>
      <c r="AL461" s="3"/>
      <c r="AM461" s="1"/>
      <c r="AN461" s="3"/>
      <c r="AO461" s="2"/>
      <c r="AP461" s="4"/>
      <c r="AQ461" s="2"/>
      <c r="AR461" s="5"/>
      <c r="AS461" s="1"/>
      <c r="AT461" s="1"/>
      <c r="AU461" s="1"/>
      <c r="AV461" s="1"/>
      <c r="AW461" s="1"/>
      <c r="AX461" s="1"/>
      <c r="AY461" s="1"/>
      <c r="AZ461" s="1"/>
    </row>
    <row r="462" spans="27:52" x14ac:dyDescent="0.25">
      <c r="AA462" s="1"/>
      <c r="AB462" s="1"/>
      <c r="AC462" s="31"/>
      <c r="AD462" s="32"/>
      <c r="AE462" s="33">
        <f t="shared" si="39"/>
        <v>19</v>
      </c>
      <c r="AF462" s="41">
        <f t="shared" si="40"/>
        <v>-6</v>
      </c>
      <c r="AG462" s="42">
        <f t="shared" si="41"/>
        <v>0</v>
      </c>
      <c r="AH462" s="42">
        <f t="shared" si="42"/>
        <v>-6</v>
      </c>
      <c r="AI462" s="43">
        <f t="shared" si="43"/>
        <v>0.01</v>
      </c>
      <c r="AJ462" s="2"/>
      <c r="AK462" s="2"/>
      <c r="AL462" s="3"/>
      <c r="AM462" s="1"/>
      <c r="AN462" s="3"/>
      <c r="AO462" s="2"/>
      <c r="AP462" s="4"/>
      <c r="AQ462" s="2"/>
      <c r="AR462" s="5"/>
      <c r="AS462" s="1"/>
      <c r="AT462" s="1"/>
      <c r="AU462" s="1"/>
      <c r="AV462" s="1"/>
      <c r="AW462" s="1"/>
      <c r="AX462" s="1"/>
      <c r="AY462" s="1"/>
      <c r="AZ462" s="1"/>
    </row>
    <row r="463" spans="27:52" x14ac:dyDescent="0.25">
      <c r="AA463" s="1"/>
      <c r="AB463" s="1"/>
      <c r="AC463" s="31"/>
      <c r="AD463" s="32"/>
      <c r="AE463" s="33">
        <f t="shared" si="39"/>
        <v>19</v>
      </c>
      <c r="AF463" s="41">
        <f t="shared" si="40"/>
        <v>-6</v>
      </c>
      <c r="AG463" s="42">
        <f t="shared" si="41"/>
        <v>0</v>
      </c>
      <c r="AH463" s="42">
        <f t="shared" si="42"/>
        <v>-6</v>
      </c>
      <c r="AI463" s="43">
        <f t="shared" si="43"/>
        <v>0.01</v>
      </c>
      <c r="AJ463" s="2"/>
      <c r="AK463" s="2"/>
      <c r="AL463" s="3"/>
      <c r="AM463" s="1"/>
      <c r="AN463" s="3"/>
      <c r="AO463" s="2"/>
      <c r="AP463" s="4"/>
      <c r="AQ463" s="2"/>
      <c r="AR463" s="5"/>
      <c r="AS463" s="1"/>
      <c r="AT463" s="1"/>
      <c r="AU463" s="1"/>
      <c r="AV463" s="1"/>
      <c r="AW463" s="1"/>
      <c r="AX463" s="1"/>
      <c r="AY463" s="1"/>
      <c r="AZ463" s="1"/>
    </row>
    <row r="464" spans="27:52" x14ac:dyDescent="0.25">
      <c r="AA464" s="1"/>
      <c r="AB464" s="1"/>
      <c r="AC464" s="31"/>
      <c r="AD464" s="32"/>
      <c r="AE464" s="33">
        <f t="shared" si="39"/>
        <v>19</v>
      </c>
      <c r="AF464" s="41">
        <f t="shared" si="40"/>
        <v>-6</v>
      </c>
      <c r="AG464" s="42">
        <f t="shared" si="41"/>
        <v>0</v>
      </c>
      <c r="AH464" s="42">
        <f t="shared" si="42"/>
        <v>-6</v>
      </c>
      <c r="AI464" s="43">
        <f t="shared" si="43"/>
        <v>0.01</v>
      </c>
      <c r="AJ464" s="2"/>
      <c r="AK464" s="2"/>
      <c r="AL464" s="3"/>
      <c r="AM464" s="1"/>
      <c r="AN464" s="3"/>
      <c r="AO464" s="2"/>
      <c r="AP464" s="4"/>
      <c r="AQ464" s="2"/>
      <c r="AR464" s="5"/>
      <c r="AS464" s="1"/>
      <c r="AT464" s="1"/>
      <c r="AU464" s="1"/>
      <c r="AV464" s="1"/>
      <c r="AW464" s="1"/>
      <c r="AX464" s="1"/>
      <c r="AY464" s="1"/>
      <c r="AZ464" s="1"/>
    </row>
    <row r="465" spans="27:52" x14ac:dyDescent="0.25">
      <c r="AA465" s="1"/>
      <c r="AB465" s="1"/>
      <c r="AC465" s="31"/>
      <c r="AD465" s="32"/>
      <c r="AE465" s="33">
        <f t="shared" si="39"/>
        <v>19</v>
      </c>
      <c r="AF465" s="41">
        <f t="shared" si="40"/>
        <v>-6</v>
      </c>
      <c r="AG465" s="42">
        <f t="shared" si="41"/>
        <v>0</v>
      </c>
      <c r="AH465" s="42">
        <f t="shared" si="42"/>
        <v>-6</v>
      </c>
      <c r="AI465" s="43">
        <f t="shared" si="43"/>
        <v>0.01</v>
      </c>
      <c r="AJ465" s="2"/>
      <c r="AK465" s="2"/>
      <c r="AL465" s="3"/>
      <c r="AM465" s="1"/>
      <c r="AN465" s="3"/>
      <c r="AO465" s="2"/>
      <c r="AP465" s="4"/>
      <c r="AQ465" s="2"/>
      <c r="AR465" s="5"/>
      <c r="AS465" s="1"/>
      <c r="AT465" s="1"/>
      <c r="AU465" s="1"/>
      <c r="AV465" s="1"/>
      <c r="AW465" s="1"/>
      <c r="AX465" s="1"/>
      <c r="AY465" s="1"/>
      <c r="AZ465" s="1"/>
    </row>
    <row r="466" spans="27:52" x14ac:dyDescent="0.25">
      <c r="AA466" s="1"/>
      <c r="AB466" s="1"/>
      <c r="AC466" s="31"/>
      <c r="AD466" s="32"/>
      <c r="AE466" s="33">
        <f t="shared" si="39"/>
        <v>19</v>
      </c>
      <c r="AF466" s="41">
        <f t="shared" si="40"/>
        <v>-6</v>
      </c>
      <c r="AG466" s="42">
        <f t="shared" si="41"/>
        <v>0</v>
      </c>
      <c r="AH466" s="42">
        <f t="shared" si="42"/>
        <v>-6</v>
      </c>
      <c r="AI466" s="43">
        <f t="shared" si="43"/>
        <v>0.01</v>
      </c>
      <c r="AJ466" s="2"/>
      <c r="AK466" s="2"/>
      <c r="AL466" s="3"/>
      <c r="AM466" s="1"/>
      <c r="AN466" s="3"/>
      <c r="AO466" s="2"/>
      <c r="AP466" s="4"/>
      <c r="AQ466" s="2"/>
      <c r="AR466" s="5"/>
      <c r="AS466" s="1"/>
      <c r="AT466" s="1"/>
      <c r="AU466" s="1"/>
      <c r="AV466" s="1"/>
      <c r="AW466" s="1"/>
      <c r="AX466" s="1"/>
      <c r="AY466" s="1"/>
      <c r="AZ466" s="1"/>
    </row>
    <row r="467" spans="27:52" x14ac:dyDescent="0.25">
      <c r="AA467" s="1"/>
      <c r="AB467" s="1"/>
      <c r="AC467" s="31"/>
      <c r="AD467" s="32"/>
      <c r="AE467" s="33">
        <f t="shared" si="39"/>
        <v>19</v>
      </c>
      <c r="AF467" s="41">
        <f t="shared" si="40"/>
        <v>-6</v>
      </c>
      <c r="AG467" s="42">
        <f t="shared" si="41"/>
        <v>0</v>
      </c>
      <c r="AH467" s="42">
        <f t="shared" si="42"/>
        <v>-6</v>
      </c>
      <c r="AI467" s="43">
        <f t="shared" si="43"/>
        <v>0.01</v>
      </c>
      <c r="AJ467" s="2"/>
      <c r="AK467" s="2"/>
      <c r="AL467" s="3"/>
      <c r="AM467" s="1"/>
      <c r="AN467" s="3"/>
      <c r="AO467" s="2"/>
      <c r="AP467" s="4"/>
      <c r="AQ467" s="2"/>
      <c r="AR467" s="5"/>
      <c r="AS467" s="1"/>
      <c r="AT467" s="1"/>
      <c r="AU467" s="1"/>
      <c r="AV467" s="1"/>
      <c r="AW467" s="1"/>
      <c r="AX467" s="1"/>
      <c r="AY467" s="1"/>
      <c r="AZ467" s="1"/>
    </row>
    <row r="468" spans="27:52" x14ac:dyDescent="0.25">
      <c r="AA468" s="1"/>
      <c r="AB468" s="1"/>
      <c r="AC468" s="31"/>
      <c r="AD468" s="32"/>
      <c r="AE468" s="33">
        <f t="shared" si="39"/>
        <v>19</v>
      </c>
      <c r="AF468" s="41">
        <f t="shared" si="40"/>
        <v>-6</v>
      </c>
      <c r="AG468" s="42">
        <f t="shared" si="41"/>
        <v>0</v>
      </c>
      <c r="AH468" s="42">
        <f t="shared" si="42"/>
        <v>-6</v>
      </c>
      <c r="AI468" s="43">
        <f t="shared" si="43"/>
        <v>0.01</v>
      </c>
      <c r="AJ468" s="2"/>
      <c r="AK468" s="2"/>
      <c r="AL468" s="3"/>
      <c r="AM468" s="1"/>
      <c r="AN468" s="3"/>
      <c r="AO468" s="2"/>
      <c r="AP468" s="4"/>
      <c r="AQ468" s="2"/>
      <c r="AR468" s="5"/>
      <c r="AS468" s="1"/>
      <c r="AT468" s="1"/>
      <c r="AU468" s="1"/>
      <c r="AV468" s="1"/>
      <c r="AW468" s="1"/>
      <c r="AX468" s="1"/>
      <c r="AY468" s="1"/>
      <c r="AZ468" s="1"/>
    </row>
    <row r="469" spans="27:52" x14ac:dyDescent="0.25">
      <c r="AA469" s="1"/>
      <c r="AB469" s="1"/>
      <c r="AC469" s="31"/>
      <c r="AD469" s="32"/>
      <c r="AE469" s="33">
        <f t="shared" si="39"/>
        <v>19</v>
      </c>
      <c r="AF469" s="41">
        <f t="shared" si="40"/>
        <v>-6</v>
      </c>
      <c r="AG469" s="42">
        <f t="shared" si="41"/>
        <v>0</v>
      </c>
      <c r="AH469" s="42">
        <f t="shared" si="42"/>
        <v>-6</v>
      </c>
      <c r="AI469" s="43">
        <f t="shared" si="43"/>
        <v>0.01</v>
      </c>
      <c r="AJ469" s="2"/>
      <c r="AK469" s="2"/>
      <c r="AL469" s="3"/>
      <c r="AM469" s="1"/>
      <c r="AN469" s="3"/>
      <c r="AO469" s="2"/>
      <c r="AP469" s="4"/>
      <c r="AQ469" s="2"/>
      <c r="AR469" s="5"/>
      <c r="AS469" s="1"/>
      <c r="AT469" s="1"/>
      <c r="AU469" s="1"/>
      <c r="AV469" s="1"/>
      <c r="AW469" s="1"/>
      <c r="AX469" s="1"/>
      <c r="AY469" s="1"/>
      <c r="AZ469" s="1"/>
    </row>
    <row r="470" spans="27:52" x14ac:dyDescent="0.25">
      <c r="AA470" s="1"/>
      <c r="AB470" s="1"/>
      <c r="AC470" s="31"/>
      <c r="AD470" s="32"/>
      <c r="AE470" s="33">
        <f t="shared" si="39"/>
        <v>19</v>
      </c>
      <c r="AF470" s="41">
        <f t="shared" si="40"/>
        <v>-6</v>
      </c>
      <c r="AG470" s="42">
        <f t="shared" si="41"/>
        <v>0</v>
      </c>
      <c r="AH470" s="42">
        <f t="shared" si="42"/>
        <v>-6</v>
      </c>
      <c r="AI470" s="43">
        <f t="shared" si="43"/>
        <v>0.01</v>
      </c>
      <c r="AJ470" s="2"/>
      <c r="AK470" s="2"/>
      <c r="AL470" s="3"/>
      <c r="AM470" s="1"/>
      <c r="AN470" s="3"/>
      <c r="AO470" s="2"/>
      <c r="AP470" s="4"/>
      <c r="AQ470" s="2"/>
      <c r="AR470" s="5"/>
      <c r="AS470" s="1"/>
      <c r="AT470" s="1"/>
      <c r="AU470" s="1"/>
      <c r="AV470" s="1"/>
      <c r="AW470" s="1"/>
      <c r="AX470" s="1"/>
      <c r="AY470" s="1"/>
      <c r="AZ470" s="1"/>
    </row>
    <row r="471" spans="27:52" x14ac:dyDescent="0.25">
      <c r="AA471" s="1"/>
      <c r="AB471" s="1"/>
      <c r="AC471" s="31"/>
      <c r="AD471" s="32"/>
      <c r="AE471" s="33">
        <f t="shared" si="39"/>
        <v>19</v>
      </c>
      <c r="AF471" s="41">
        <f t="shared" si="40"/>
        <v>-6</v>
      </c>
      <c r="AG471" s="42">
        <f t="shared" si="41"/>
        <v>0</v>
      </c>
      <c r="AH471" s="42">
        <f t="shared" si="42"/>
        <v>-6</v>
      </c>
      <c r="AI471" s="43">
        <f t="shared" si="43"/>
        <v>0.01</v>
      </c>
      <c r="AJ471" s="2"/>
      <c r="AK471" s="2"/>
      <c r="AL471" s="3"/>
      <c r="AM471" s="1"/>
      <c r="AN471" s="3"/>
      <c r="AO471" s="2"/>
      <c r="AP471" s="4"/>
      <c r="AQ471" s="2"/>
      <c r="AR471" s="5"/>
      <c r="AS471" s="1"/>
      <c r="AT471" s="1"/>
      <c r="AU471" s="1"/>
      <c r="AV471" s="1"/>
      <c r="AW471" s="1"/>
      <c r="AX471" s="1"/>
      <c r="AY471" s="1"/>
      <c r="AZ471" s="1"/>
    </row>
    <row r="472" spans="27:52" x14ac:dyDescent="0.25">
      <c r="AA472" s="1"/>
      <c r="AB472" s="1"/>
      <c r="AC472" s="31"/>
      <c r="AD472" s="32"/>
      <c r="AE472" s="33">
        <f t="shared" si="39"/>
        <v>19</v>
      </c>
      <c r="AF472" s="41">
        <f t="shared" si="40"/>
        <v>-6</v>
      </c>
      <c r="AG472" s="42">
        <f t="shared" si="41"/>
        <v>0</v>
      </c>
      <c r="AH472" s="42">
        <f t="shared" si="42"/>
        <v>-6</v>
      </c>
      <c r="AI472" s="43">
        <f t="shared" si="43"/>
        <v>0.01</v>
      </c>
      <c r="AJ472" s="2"/>
      <c r="AK472" s="2"/>
      <c r="AL472" s="3"/>
      <c r="AM472" s="1"/>
      <c r="AN472" s="3"/>
      <c r="AO472" s="2"/>
      <c r="AP472" s="4"/>
      <c r="AQ472" s="2"/>
      <c r="AR472" s="5"/>
      <c r="AS472" s="1"/>
      <c r="AT472" s="1"/>
      <c r="AU472" s="1"/>
      <c r="AV472" s="1"/>
      <c r="AW472" s="1"/>
      <c r="AX472" s="1"/>
      <c r="AY472" s="1"/>
      <c r="AZ472" s="1"/>
    </row>
    <row r="473" spans="27:52" x14ac:dyDescent="0.25">
      <c r="AA473" s="1"/>
      <c r="AB473" s="1"/>
      <c r="AC473" s="31"/>
      <c r="AD473" s="32"/>
      <c r="AE473" s="33">
        <f t="shared" si="39"/>
        <v>19</v>
      </c>
      <c r="AF473" s="41">
        <f t="shared" si="40"/>
        <v>-6</v>
      </c>
      <c r="AG473" s="42">
        <f t="shared" si="41"/>
        <v>0</v>
      </c>
      <c r="AH473" s="42">
        <f t="shared" si="42"/>
        <v>-6</v>
      </c>
      <c r="AI473" s="43">
        <f t="shared" si="43"/>
        <v>0.01</v>
      </c>
      <c r="AJ473" s="2"/>
      <c r="AK473" s="2"/>
      <c r="AL473" s="3"/>
      <c r="AM473" s="1"/>
      <c r="AN473" s="3"/>
      <c r="AO473" s="2"/>
      <c r="AP473" s="4"/>
      <c r="AQ473" s="2"/>
      <c r="AR473" s="5"/>
      <c r="AS473" s="1"/>
      <c r="AT473" s="1"/>
      <c r="AU473" s="1"/>
      <c r="AV473" s="1"/>
      <c r="AW473" s="1"/>
      <c r="AX473" s="1"/>
      <c r="AY473" s="1"/>
      <c r="AZ473" s="1"/>
    </row>
    <row r="474" spans="27:52" x14ac:dyDescent="0.25">
      <c r="AA474" s="1"/>
      <c r="AB474" s="1"/>
      <c r="AC474" s="31"/>
      <c r="AD474" s="32"/>
      <c r="AE474" s="33">
        <f t="shared" si="39"/>
        <v>19</v>
      </c>
      <c r="AF474" s="41">
        <f t="shared" si="40"/>
        <v>-6</v>
      </c>
      <c r="AG474" s="42">
        <f t="shared" si="41"/>
        <v>0</v>
      </c>
      <c r="AH474" s="42">
        <f t="shared" si="42"/>
        <v>-6</v>
      </c>
      <c r="AI474" s="43">
        <f t="shared" si="43"/>
        <v>0.01</v>
      </c>
      <c r="AJ474" s="2"/>
      <c r="AK474" s="2"/>
      <c r="AL474" s="3"/>
      <c r="AM474" s="1"/>
      <c r="AN474" s="3"/>
      <c r="AO474" s="2"/>
      <c r="AP474" s="4"/>
      <c r="AQ474" s="2"/>
      <c r="AR474" s="5"/>
      <c r="AS474" s="1"/>
      <c r="AT474" s="1"/>
      <c r="AU474" s="1"/>
      <c r="AV474" s="1"/>
      <c r="AW474" s="1"/>
      <c r="AX474" s="1"/>
      <c r="AY474" s="1"/>
      <c r="AZ474" s="1"/>
    </row>
    <row r="475" spans="27:52" x14ac:dyDescent="0.25">
      <c r="AA475" s="1"/>
      <c r="AB475" s="1"/>
      <c r="AC475" s="31"/>
      <c r="AD475" s="32"/>
      <c r="AE475" s="33">
        <f t="shared" si="39"/>
        <v>19</v>
      </c>
      <c r="AF475" s="41">
        <f t="shared" si="40"/>
        <v>-6</v>
      </c>
      <c r="AG475" s="42">
        <f t="shared" si="41"/>
        <v>0</v>
      </c>
      <c r="AH475" s="42">
        <f t="shared" si="42"/>
        <v>-6</v>
      </c>
      <c r="AI475" s="43">
        <f t="shared" si="43"/>
        <v>0.01</v>
      </c>
      <c r="AJ475" s="2"/>
      <c r="AK475" s="2"/>
      <c r="AL475" s="3"/>
      <c r="AM475" s="1"/>
      <c r="AN475" s="3"/>
      <c r="AO475" s="2"/>
      <c r="AP475" s="4"/>
      <c r="AQ475" s="2"/>
      <c r="AR475" s="5"/>
      <c r="AS475" s="1"/>
      <c r="AT475" s="1"/>
      <c r="AU475" s="1"/>
      <c r="AV475" s="1"/>
      <c r="AW475" s="1"/>
      <c r="AX475" s="1"/>
      <c r="AY475" s="1"/>
      <c r="AZ475" s="1"/>
    </row>
    <row r="476" spans="27:52" x14ac:dyDescent="0.25">
      <c r="AA476" s="1"/>
      <c r="AB476" s="1"/>
      <c r="AC476" s="31"/>
      <c r="AD476" s="32"/>
      <c r="AE476" s="33">
        <f t="shared" si="39"/>
        <v>19</v>
      </c>
      <c r="AF476" s="41">
        <f t="shared" si="40"/>
        <v>-6</v>
      </c>
      <c r="AG476" s="42">
        <f t="shared" si="41"/>
        <v>0</v>
      </c>
      <c r="AH476" s="42">
        <f t="shared" si="42"/>
        <v>-6</v>
      </c>
      <c r="AI476" s="43">
        <f t="shared" si="43"/>
        <v>0.01</v>
      </c>
      <c r="AJ476" s="2"/>
      <c r="AK476" s="2"/>
      <c r="AL476" s="3"/>
      <c r="AM476" s="1"/>
      <c r="AN476" s="3"/>
      <c r="AO476" s="2"/>
      <c r="AP476" s="4"/>
      <c r="AQ476" s="2"/>
      <c r="AR476" s="5"/>
      <c r="AS476" s="1"/>
      <c r="AT476" s="1"/>
      <c r="AU476" s="1"/>
      <c r="AV476" s="1"/>
      <c r="AW476" s="1"/>
      <c r="AX476" s="1"/>
      <c r="AY476" s="1"/>
      <c r="AZ476" s="1"/>
    </row>
    <row r="477" spans="27:52" x14ac:dyDescent="0.25">
      <c r="AA477" s="1"/>
      <c r="AB477" s="1"/>
      <c r="AC477" s="31"/>
      <c r="AD477" s="32"/>
      <c r="AE477" s="33">
        <f t="shared" si="39"/>
        <v>19</v>
      </c>
      <c r="AF477" s="41">
        <f t="shared" si="40"/>
        <v>-6</v>
      </c>
      <c r="AG477" s="42">
        <f t="shared" si="41"/>
        <v>0</v>
      </c>
      <c r="AH477" s="42">
        <f t="shared" si="42"/>
        <v>-6</v>
      </c>
      <c r="AI477" s="43">
        <f t="shared" si="43"/>
        <v>0.01</v>
      </c>
      <c r="AJ477" s="2"/>
      <c r="AK477" s="2"/>
      <c r="AL477" s="3"/>
      <c r="AM477" s="1"/>
      <c r="AN477" s="3"/>
      <c r="AO477" s="2"/>
      <c r="AP477" s="4"/>
      <c r="AQ477" s="2"/>
      <c r="AR477" s="5"/>
      <c r="AS477" s="1"/>
      <c r="AT477" s="1"/>
      <c r="AU477" s="1"/>
      <c r="AV477" s="1"/>
      <c r="AW477" s="1"/>
      <c r="AX477" s="1"/>
      <c r="AY477" s="1"/>
      <c r="AZ477" s="1"/>
    </row>
    <row r="478" spans="27:52" x14ac:dyDescent="0.25">
      <c r="AA478" s="1"/>
      <c r="AB478" s="1"/>
      <c r="AC478" s="31"/>
      <c r="AD478" s="32"/>
      <c r="AE478" s="33">
        <f t="shared" si="39"/>
        <v>19</v>
      </c>
      <c r="AF478" s="41">
        <f t="shared" si="40"/>
        <v>-6</v>
      </c>
      <c r="AG478" s="42">
        <f t="shared" si="41"/>
        <v>0</v>
      </c>
      <c r="AH478" s="42">
        <f t="shared" si="42"/>
        <v>-6</v>
      </c>
      <c r="AI478" s="43">
        <f t="shared" si="43"/>
        <v>0.01</v>
      </c>
      <c r="AJ478" s="2"/>
      <c r="AK478" s="2"/>
      <c r="AL478" s="3"/>
      <c r="AM478" s="1"/>
      <c r="AN478" s="3"/>
      <c r="AO478" s="2"/>
      <c r="AP478" s="4"/>
      <c r="AQ478" s="2"/>
      <c r="AR478" s="5"/>
      <c r="AS478" s="1"/>
      <c r="AT478" s="1"/>
      <c r="AU478" s="1"/>
      <c r="AV478" s="1"/>
      <c r="AW478" s="1"/>
      <c r="AX478" s="1"/>
      <c r="AY478" s="1"/>
      <c r="AZ478" s="1"/>
    </row>
    <row r="479" spans="27:52" x14ac:dyDescent="0.25">
      <c r="AA479" s="1"/>
      <c r="AB479" s="1"/>
      <c r="AC479" s="31"/>
      <c r="AD479" s="32"/>
      <c r="AE479" s="33">
        <f t="shared" si="39"/>
        <v>19</v>
      </c>
      <c r="AF479" s="41">
        <f t="shared" si="40"/>
        <v>-6</v>
      </c>
      <c r="AG479" s="42">
        <f t="shared" si="41"/>
        <v>0</v>
      </c>
      <c r="AH479" s="42">
        <f t="shared" si="42"/>
        <v>-6</v>
      </c>
      <c r="AI479" s="43">
        <f t="shared" si="43"/>
        <v>0.01</v>
      </c>
      <c r="AJ479" s="2"/>
      <c r="AK479" s="2"/>
      <c r="AL479" s="3"/>
      <c r="AM479" s="1"/>
      <c r="AN479" s="3"/>
      <c r="AO479" s="2"/>
      <c r="AP479" s="4"/>
      <c r="AQ479" s="2"/>
      <c r="AR479" s="5"/>
      <c r="AS479" s="1"/>
      <c r="AT479" s="1"/>
      <c r="AU479" s="1"/>
      <c r="AV479" s="1"/>
      <c r="AW479" s="1"/>
      <c r="AX479" s="1"/>
      <c r="AY479" s="1"/>
      <c r="AZ479" s="1"/>
    </row>
    <row r="480" spans="27:52" x14ac:dyDescent="0.25">
      <c r="AA480" s="1"/>
      <c r="AB480" s="1"/>
      <c r="AC480" s="31"/>
      <c r="AD480" s="32"/>
      <c r="AE480" s="33">
        <f t="shared" si="39"/>
        <v>19</v>
      </c>
      <c r="AF480" s="41">
        <f t="shared" si="40"/>
        <v>-6</v>
      </c>
      <c r="AG480" s="42">
        <f t="shared" si="41"/>
        <v>0</v>
      </c>
      <c r="AH480" s="42">
        <f t="shared" si="42"/>
        <v>-6</v>
      </c>
      <c r="AI480" s="43">
        <f t="shared" si="43"/>
        <v>0.01</v>
      </c>
      <c r="AJ480" s="2"/>
      <c r="AK480" s="2"/>
      <c r="AL480" s="3"/>
      <c r="AM480" s="1"/>
      <c r="AN480" s="3"/>
      <c r="AO480" s="2"/>
      <c r="AP480" s="4"/>
      <c r="AQ480" s="2"/>
      <c r="AR480" s="5"/>
      <c r="AS480" s="1"/>
      <c r="AT480" s="1"/>
      <c r="AU480" s="1"/>
      <c r="AV480" s="1"/>
      <c r="AW480" s="1"/>
      <c r="AX480" s="1"/>
      <c r="AY480" s="1"/>
      <c r="AZ480" s="1"/>
    </row>
    <row r="481" spans="27:52" x14ac:dyDescent="0.25">
      <c r="AA481" s="1"/>
      <c r="AB481" s="1"/>
      <c r="AC481" s="31"/>
      <c r="AD481" s="32"/>
      <c r="AE481" s="33">
        <f t="shared" si="39"/>
        <v>19</v>
      </c>
      <c r="AF481" s="41">
        <f t="shared" si="40"/>
        <v>-6</v>
      </c>
      <c r="AG481" s="42">
        <f t="shared" si="41"/>
        <v>0</v>
      </c>
      <c r="AH481" s="42">
        <f t="shared" si="42"/>
        <v>-6</v>
      </c>
      <c r="AI481" s="43">
        <f t="shared" si="43"/>
        <v>0.01</v>
      </c>
      <c r="AJ481" s="2"/>
      <c r="AK481" s="2"/>
      <c r="AL481" s="3"/>
      <c r="AM481" s="1"/>
      <c r="AN481" s="3"/>
      <c r="AO481" s="2"/>
      <c r="AP481" s="4"/>
      <c r="AQ481" s="2"/>
      <c r="AR481" s="5"/>
      <c r="AS481" s="1"/>
      <c r="AT481" s="1"/>
      <c r="AU481" s="1"/>
      <c r="AV481" s="1"/>
      <c r="AW481" s="1"/>
      <c r="AX481" s="1"/>
      <c r="AY481" s="1"/>
      <c r="AZ481" s="1"/>
    </row>
    <row r="482" spans="27:52" x14ac:dyDescent="0.25">
      <c r="AA482" s="1"/>
      <c r="AB482" s="1"/>
      <c r="AC482" s="31"/>
      <c r="AD482" s="32"/>
      <c r="AE482" s="33">
        <f t="shared" si="39"/>
        <v>19</v>
      </c>
      <c r="AF482" s="41">
        <f t="shared" si="40"/>
        <v>-6</v>
      </c>
      <c r="AG482" s="42">
        <f t="shared" si="41"/>
        <v>0</v>
      </c>
      <c r="AH482" s="42">
        <f t="shared" si="42"/>
        <v>-6</v>
      </c>
      <c r="AI482" s="43">
        <f t="shared" si="43"/>
        <v>0.01</v>
      </c>
      <c r="AJ482" s="2"/>
      <c r="AK482" s="2"/>
      <c r="AL482" s="3"/>
      <c r="AM482" s="1"/>
      <c r="AN482" s="3"/>
      <c r="AO482" s="2"/>
      <c r="AP482" s="4"/>
      <c r="AQ482" s="2"/>
      <c r="AR482" s="5"/>
      <c r="AS482" s="1"/>
      <c r="AT482" s="1"/>
      <c r="AU482" s="1"/>
      <c r="AV482" s="1"/>
      <c r="AW482" s="1"/>
      <c r="AX482" s="1"/>
      <c r="AY482" s="1"/>
      <c r="AZ482" s="1"/>
    </row>
    <row r="483" spans="27:52" x14ac:dyDescent="0.25">
      <c r="AA483" s="1"/>
      <c r="AB483" s="1"/>
      <c r="AC483" s="31"/>
      <c r="AD483" s="32"/>
      <c r="AE483" s="33">
        <f t="shared" si="39"/>
        <v>19</v>
      </c>
      <c r="AF483" s="41">
        <f t="shared" si="40"/>
        <v>-6</v>
      </c>
      <c r="AG483" s="42">
        <f t="shared" si="41"/>
        <v>0</v>
      </c>
      <c r="AH483" s="42">
        <f t="shared" si="42"/>
        <v>-6</v>
      </c>
      <c r="AI483" s="43">
        <f t="shared" si="43"/>
        <v>0.01</v>
      </c>
      <c r="AJ483" s="2"/>
      <c r="AK483" s="2"/>
      <c r="AL483" s="3"/>
      <c r="AM483" s="1"/>
      <c r="AN483" s="3"/>
      <c r="AO483" s="2"/>
      <c r="AP483" s="4"/>
      <c r="AQ483" s="2"/>
      <c r="AR483" s="5"/>
      <c r="AS483" s="1"/>
      <c r="AT483" s="1"/>
      <c r="AU483" s="1"/>
      <c r="AV483" s="1"/>
      <c r="AW483" s="1"/>
      <c r="AX483" s="1"/>
      <c r="AY483" s="1"/>
      <c r="AZ483" s="1"/>
    </row>
    <row r="484" spans="27:52" x14ac:dyDescent="0.25">
      <c r="AA484" s="1"/>
      <c r="AB484" s="1"/>
      <c r="AC484" s="31"/>
      <c r="AD484" s="32"/>
      <c r="AE484" s="33">
        <f t="shared" si="39"/>
        <v>19</v>
      </c>
      <c r="AF484" s="41">
        <f t="shared" si="40"/>
        <v>-6</v>
      </c>
      <c r="AG484" s="42">
        <f t="shared" si="41"/>
        <v>0</v>
      </c>
      <c r="AH484" s="42">
        <f t="shared" si="42"/>
        <v>-6</v>
      </c>
      <c r="AI484" s="43">
        <f t="shared" si="43"/>
        <v>0.01</v>
      </c>
      <c r="AJ484" s="2"/>
      <c r="AK484" s="2"/>
      <c r="AL484" s="3"/>
      <c r="AM484" s="1"/>
      <c r="AN484" s="3"/>
      <c r="AO484" s="2"/>
      <c r="AP484" s="4"/>
      <c r="AQ484" s="2"/>
      <c r="AR484" s="5"/>
      <c r="AS484" s="1"/>
      <c r="AT484" s="1"/>
      <c r="AU484" s="1"/>
      <c r="AV484" s="1"/>
      <c r="AW484" s="1"/>
      <c r="AX484" s="1"/>
      <c r="AY484" s="1"/>
      <c r="AZ484" s="1"/>
    </row>
    <row r="485" spans="27:52" x14ac:dyDescent="0.25">
      <c r="AA485" s="1"/>
      <c r="AB485" s="1"/>
      <c r="AC485" s="31"/>
      <c r="AD485" s="32"/>
      <c r="AE485" s="33">
        <f t="shared" si="39"/>
        <v>19</v>
      </c>
      <c r="AF485" s="41">
        <f t="shared" si="40"/>
        <v>-6</v>
      </c>
      <c r="AG485" s="42">
        <f t="shared" si="41"/>
        <v>0</v>
      </c>
      <c r="AH485" s="42">
        <f t="shared" si="42"/>
        <v>-6</v>
      </c>
      <c r="AI485" s="43">
        <f t="shared" si="43"/>
        <v>0.01</v>
      </c>
      <c r="AJ485" s="2"/>
      <c r="AK485" s="2"/>
      <c r="AL485" s="3"/>
      <c r="AM485" s="1"/>
      <c r="AN485" s="3"/>
      <c r="AO485" s="2"/>
      <c r="AP485" s="4"/>
      <c r="AQ485" s="2"/>
      <c r="AR485" s="5"/>
      <c r="AS485" s="1"/>
      <c r="AT485" s="1"/>
      <c r="AU485" s="1"/>
      <c r="AV485" s="1"/>
      <c r="AW485" s="1"/>
      <c r="AX485" s="1"/>
      <c r="AY485" s="1"/>
      <c r="AZ485" s="1"/>
    </row>
    <row r="486" spans="27:52" x14ac:dyDescent="0.25">
      <c r="AA486" s="1"/>
      <c r="AB486" s="1"/>
      <c r="AC486" s="31"/>
      <c r="AD486" s="32"/>
      <c r="AE486" s="33">
        <f t="shared" si="39"/>
        <v>19</v>
      </c>
      <c r="AF486" s="41">
        <f t="shared" si="40"/>
        <v>-6</v>
      </c>
      <c r="AG486" s="42">
        <f t="shared" si="41"/>
        <v>0</v>
      </c>
      <c r="AH486" s="42">
        <f t="shared" si="42"/>
        <v>-6</v>
      </c>
      <c r="AI486" s="43">
        <f t="shared" si="43"/>
        <v>0.01</v>
      </c>
      <c r="AJ486" s="2"/>
      <c r="AK486" s="2"/>
      <c r="AL486" s="3"/>
      <c r="AM486" s="1"/>
      <c r="AN486" s="3"/>
      <c r="AO486" s="2"/>
      <c r="AP486" s="4"/>
      <c r="AQ486" s="2"/>
      <c r="AR486" s="5"/>
      <c r="AS486" s="1"/>
      <c r="AT486" s="1"/>
      <c r="AU486" s="1"/>
      <c r="AV486" s="1"/>
      <c r="AW486" s="1"/>
      <c r="AX486" s="1"/>
      <c r="AY486" s="1"/>
      <c r="AZ486" s="1"/>
    </row>
    <row r="487" spans="27:52" x14ac:dyDescent="0.25">
      <c r="AA487" s="1"/>
      <c r="AB487" s="1"/>
      <c r="AC487" s="31"/>
      <c r="AD487" s="32"/>
      <c r="AE487" s="33">
        <f t="shared" si="39"/>
        <v>19</v>
      </c>
      <c r="AF487" s="41">
        <f t="shared" si="40"/>
        <v>-6</v>
      </c>
      <c r="AG487" s="42">
        <f t="shared" si="41"/>
        <v>0</v>
      </c>
      <c r="AH487" s="42">
        <f t="shared" si="42"/>
        <v>-6</v>
      </c>
      <c r="AI487" s="43">
        <f t="shared" si="43"/>
        <v>0.01</v>
      </c>
      <c r="AJ487" s="2"/>
      <c r="AK487" s="2"/>
      <c r="AL487" s="3"/>
      <c r="AM487" s="1"/>
      <c r="AN487" s="3"/>
      <c r="AO487" s="2"/>
      <c r="AP487" s="4"/>
      <c r="AQ487" s="2"/>
      <c r="AR487" s="5"/>
      <c r="AS487" s="1"/>
      <c r="AT487" s="1"/>
      <c r="AU487" s="1"/>
      <c r="AV487" s="1"/>
      <c r="AW487" s="1"/>
      <c r="AX487" s="1"/>
      <c r="AY487" s="1"/>
      <c r="AZ487" s="1"/>
    </row>
    <row r="488" spans="27:52" x14ac:dyDescent="0.25">
      <c r="AA488" s="1"/>
      <c r="AB488" s="1"/>
      <c r="AC488" s="31"/>
      <c r="AD488" s="32"/>
      <c r="AE488" s="33">
        <f t="shared" si="39"/>
        <v>19</v>
      </c>
      <c r="AF488" s="41">
        <f t="shared" si="40"/>
        <v>-6</v>
      </c>
      <c r="AG488" s="42">
        <f t="shared" si="41"/>
        <v>0</v>
      </c>
      <c r="AH488" s="42">
        <f t="shared" si="42"/>
        <v>-6</v>
      </c>
      <c r="AI488" s="43">
        <f t="shared" si="43"/>
        <v>0.01</v>
      </c>
      <c r="AJ488" s="2"/>
      <c r="AK488" s="2"/>
      <c r="AL488" s="3"/>
      <c r="AM488" s="1"/>
      <c r="AN488" s="3"/>
      <c r="AO488" s="2"/>
      <c r="AP488" s="4"/>
      <c r="AQ488" s="2"/>
      <c r="AR488" s="5"/>
      <c r="AS488" s="1"/>
      <c r="AT488" s="1"/>
      <c r="AU488" s="1"/>
      <c r="AV488" s="1"/>
      <c r="AW488" s="1"/>
      <c r="AX488" s="1"/>
      <c r="AY488" s="1"/>
      <c r="AZ488" s="1"/>
    </row>
    <row r="489" spans="27:52" x14ac:dyDescent="0.25">
      <c r="AA489" s="1"/>
      <c r="AB489" s="1"/>
      <c r="AC489" s="31"/>
      <c r="AD489" s="32"/>
      <c r="AE489" s="33">
        <f t="shared" si="39"/>
        <v>19</v>
      </c>
      <c r="AF489" s="41">
        <f t="shared" si="40"/>
        <v>-6</v>
      </c>
      <c r="AG489" s="42">
        <f t="shared" si="41"/>
        <v>0</v>
      </c>
      <c r="AH489" s="42">
        <f t="shared" si="42"/>
        <v>-6</v>
      </c>
      <c r="AI489" s="43">
        <f t="shared" si="43"/>
        <v>0.01</v>
      </c>
      <c r="AJ489" s="2"/>
      <c r="AK489" s="2"/>
      <c r="AL489" s="3"/>
      <c r="AM489" s="1"/>
      <c r="AN489" s="3"/>
      <c r="AO489" s="2"/>
      <c r="AP489" s="4"/>
      <c r="AQ489" s="2"/>
      <c r="AR489" s="5"/>
      <c r="AS489" s="1"/>
      <c r="AT489" s="1"/>
      <c r="AU489" s="1"/>
      <c r="AV489" s="1"/>
      <c r="AW489" s="1"/>
      <c r="AX489" s="1"/>
      <c r="AY489" s="1"/>
      <c r="AZ489" s="1"/>
    </row>
    <row r="490" spans="27:52" x14ac:dyDescent="0.25">
      <c r="AA490" s="1"/>
      <c r="AB490" s="1"/>
      <c r="AC490" s="31"/>
      <c r="AD490" s="32"/>
      <c r="AE490" s="33">
        <f t="shared" si="39"/>
        <v>19</v>
      </c>
      <c r="AF490" s="41">
        <f t="shared" si="40"/>
        <v>-6</v>
      </c>
      <c r="AG490" s="42">
        <f t="shared" si="41"/>
        <v>0</v>
      </c>
      <c r="AH490" s="42">
        <f t="shared" si="42"/>
        <v>-6</v>
      </c>
      <c r="AI490" s="43">
        <f t="shared" si="43"/>
        <v>0.01</v>
      </c>
      <c r="AJ490" s="2"/>
      <c r="AK490" s="2"/>
      <c r="AL490" s="3"/>
      <c r="AM490" s="1"/>
      <c r="AN490" s="3"/>
      <c r="AO490" s="2"/>
      <c r="AP490" s="4"/>
      <c r="AQ490" s="2"/>
      <c r="AR490" s="5"/>
      <c r="AS490" s="1"/>
      <c r="AT490" s="1"/>
      <c r="AU490" s="1"/>
      <c r="AV490" s="1"/>
      <c r="AW490" s="1"/>
      <c r="AX490" s="1"/>
      <c r="AY490" s="1"/>
      <c r="AZ490" s="1"/>
    </row>
    <row r="491" spans="27:52" x14ac:dyDescent="0.25">
      <c r="AA491" s="1"/>
      <c r="AB491" s="1"/>
      <c r="AC491" s="31"/>
      <c r="AD491" s="32"/>
      <c r="AE491" s="33">
        <f t="shared" si="39"/>
        <v>19</v>
      </c>
      <c r="AF491" s="41">
        <f t="shared" si="40"/>
        <v>-6</v>
      </c>
      <c r="AG491" s="42">
        <f t="shared" si="41"/>
        <v>0</v>
      </c>
      <c r="AH491" s="42">
        <f t="shared" si="42"/>
        <v>-6</v>
      </c>
      <c r="AI491" s="43">
        <f t="shared" si="43"/>
        <v>0.01</v>
      </c>
      <c r="AJ491" s="2"/>
      <c r="AK491" s="2"/>
      <c r="AL491" s="3"/>
      <c r="AM491" s="1"/>
      <c r="AN491" s="3"/>
      <c r="AO491" s="2"/>
      <c r="AP491" s="4"/>
      <c r="AQ491" s="2"/>
      <c r="AR491" s="5"/>
      <c r="AS491" s="1"/>
      <c r="AT491" s="1"/>
      <c r="AU491" s="1"/>
      <c r="AV491" s="1"/>
      <c r="AW491" s="1"/>
      <c r="AX491" s="1"/>
      <c r="AY491" s="1"/>
      <c r="AZ491" s="1"/>
    </row>
    <row r="492" spans="27:52" x14ac:dyDescent="0.25">
      <c r="AA492" s="1"/>
      <c r="AB492" s="1"/>
      <c r="AC492" s="31"/>
      <c r="AD492" s="32"/>
      <c r="AE492" s="33">
        <f t="shared" si="39"/>
        <v>19</v>
      </c>
      <c r="AF492" s="41">
        <f t="shared" si="40"/>
        <v>-6</v>
      </c>
      <c r="AG492" s="42">
        <f t="shared" si="41"/>
        <v>0</v>
      </c>
      <c r="AH492" s="42">
        <f t="shared" si="42"/>
        <v>-6</v>
      </c>
      <c r="AI492" s="43">
        <f t="shared" si="43"/>
        <v>0.01</v>
      </c>
      <c r="AJ492" s="2"/>
      <c r="AK492" s="2"/>
      <c r="AL492" s="3"/>
      <c r="AM492" s="1"/>
      <c r="AN492" s="3"/>
      <c r="AO492" s="2"/>
      <c r="AP492" s="4"/>
      <c r="AQ492" s="2"/>
      <c r="AR492" s="5"/>
      <c r="AS492" s="1"/>
      <c r="AT492" s="1"/>
      <c r="AU492" s="1"/>
      <c r="AV492" s="1"/>
      <c r="AW492" s="1"/>
      <c r="AX492" s="1"/>
      <c r="AY492" s="1"/>
      <c r="AZ492" s="1"/>
    </row>
    <row r="493" spans="27:52" x14ac:dyDescent="0.25">
      <c r="AA493" s="1"/>
      <c r="AB493" s="1"/>
      <c r="AC493" s="31"/>
      <c r="AD493" s="32"/>
      <c r="AE493" s="33">
        <f t="shared" si="39"/>
        <v>19</v>
      </c>
      <c r="AF493" s="41">
        <f t="shared" si="40"/>
        <v>-6</v>
      </c>
      <c r="AG493" s="42">
        <f t="shared" si="41"/>
        <v>0</v>
      </c>
      <c r="AH493" s="42">
        <f t="shared" si="42"/>
        <v>-6</v>
      </c>
      <c r="AI493" s="43">
        <f t="shared" si="43"/>
        <v>0.01</v>
      </c>
      <c r="AJ493" s="2"/>
      <c r="AK493" s="2"/>
      <c r="AL493" s="3"/>
      <c r="AM493" s="1"/>
      <c r="AN493" s="3"/>
      <c r="AO493" s="2"/>
      <c r="AP493" s="4"/>
      <c r="AQ493" s="2"/>
      <c r="AR493" s="5"/>
      <c r="AS493" s="1"/>
      <c r="AT493" s="1"/>
      <c r="AU493" s="1"/>
      <c r="AV493" s="1"/>
      <c r="AW493" s="1"/>
      <c r="AX493" s="1"/>
      <c r="AY493" s="1"/>
      <c r="AZ493" s="1"/>
    </row>
    <row r="494" spans="27:52" x14ac:dyDescent="0.25">
      <c r="AA494" s="1"/>
      <c r="AB494" s="1"/>
      <c r="AC494" s="31"/>
      <c r="AD494" s="32"/>
      <c r="AE494" s="33">
        <f t="shared" si="39"/>
        <v>19</v>
      </c>
      <c r="AF494" s="41">
        <f t="shared" si="40"/>
        <v>-6</v>
      </c>
      <c r="AG494" s="42">
        <f t="shared" si="41"/>
        <v>0</v>
      </c>
      <c r="AH494" s="42">
        <f t="shared" si="42"/>
        <v>-6</v>
      </c>
      <c r="AI494" s="43">
        <f t="shared" si="43"/>
        <v>0.01</v>
      </c>
      <c r="AJ494" s="2"/>
      <c r="AK494" s="2"/>
      <c r="AL494" s="3"/>
      <c r="AM494" s="1"/>
      <c r="AN494" s="3"/>
      <c r="AO494" s="2"/>
      <c r="AP494" s="4"/>
      <c r="AQ494" s="2"/>
      <c r="AR494" s="5"/>
      <c r="AS494" s="1"/>
      <c r="AT494" s="1"/>
      <c r="AU494" s="1"/>
      <c r="AV494" s="1"/>
      <c r="AW494" s="1"/>
      <c r="AX494" s="1"/>
      <c r="AY494" s="1"/>
      <c r="AZ494" s="1"/>
    </row>
    <row r="495" spans="27:52" x14ac:dyDescent="0.25">
      <c r="AA495" s="1"/>
      <c r="AB495" s="1"/>
      <c r="AC495" s="31"/>
      <c r="AD495" s="32"/>
      <c r="AE495" s="33">
        <f t="shared" si="39"/>
        <v>19</v>
      </c>
      <c r="AF495" s="41">
        <f t="shared" si="40"/>
        <v>-6</v>
      </c>
      <c r="AG495" s="42">
        <f t="shared" si="41"/>
        <v>0</v>
      </c>
      <c r="AH495" s="42">
        <f t="shared" si="42"/>
        <v>-6</v>
      </c>
      <c r="AI495" s="43">
        <f t="shared" si="43"/>
        <v>0.01</v>
      </c>
      <c r="AJ495" s="2"/>
      <c r="AK495" s="2"/>
      <c r="AL495" s="3"/>
      <c r="AM495" s="1"/>
      <c r="AN495" s="3"/>
      <c r="AO495" s="2"/>
      <c r="AP495" s="4"/>
      <c r="AQ495" s="2"/>
      <c r="AR495" s="5"/>
      <c r="AS495" s="1"/>
      <c r="AT495" s="1"/>
      <c r="AU495" s="1"/>
      <c r="AV495" s="1"/>
      <c r="AW495" s="1"/>
      <c r="AX495" s="1"/>
      <c r="AY495" s="1"/>
      <c r="AZ495" s="1"/>
    </row>
    <row r="496" spans="27:52" x14ac:dyDescent="0.25">
      <c r="AA496" s="1"/>
      <c r="AB496" s="1"/>
      <c r="AC496" s="31"/>
      <c r="AD496" s="32"/>
      <c r="AE496" s="33">
        <f t="shared" si="39"/>
        <v>19</v>
      </c>
      <c r="AF496" s="41">
        <f t="shared" si="40"/>
        <v>-6</v>
      </c>
      <c r="AG496" s="42">
        <f t="shared" si="41"/>
        <v>0</v>
      </c>
      <c r="AH496" s="42">
        <f t="shared" si="42"/>
        <v>-6</v>
      </c>
      <c r="AI496" s="43">
        <f t="shared" si="43"/>
        <v>0.01</v>
      </c>
      <c r="AJ496" s="2"/>
      <c r="AK496" s="2"/>
      <c r="AL496" s="3"/>
      <c r="AM496" s="1"/>
      <c r="AN496" s="3"/>
      <c r="AO496" s="2"/>
      <c r="AP496" s="4"/>
      <c r="AQ496" s="2"/>
      <c r="AR496" s="5"/>
      <c r="AS496" s="1"/>
      <c r="AT496" s="1"/>
      <c r="AU496" s="1"/>
      <c r="AV496" s="1"/>
      <c r="AW496" s="1"/>
      <c r="AX496" s="1"/>
      <c r="AY496" s="1"/>
      <c r="AZ496" s="1"/>
    </row>
    <row r="497" spans="27:52" x14ac:dyDescent="0.25">
      <c r="AA497" s="1"/>
      <c r="AB497" s="1"/>
      <c r="AC497" s="31"/>
      <c r="AD497" s="32"/>
      <c r="AE497" s="33">
        <f t="shared" si="39"/>
        <v>19</v>
      </c>
      <c r="AF497" s="41">
        <f t="shared" si="40"/>
        <v>-6</v>
      </c>
      <c r="AG497" s="42">
        <f t="shared" si="41"/>
        <v>0</v>
      </c>
      <c r="AH497" s="42">
        <f t="shared" si="42"/>
        <v>-6</v>
      </c>
      <c r="AI497" s="43">
        <f t="shared" si="43"/>
        <v>0.01</v>
      </c>
      <c r="AJ497" s="2"/>
      <c r="AK497" s="2"/>
      <c r="AL497" s="3"/>
      <c r="AM497" s="1"/>
      <c r="AN497" s="3"/>
      <c r="AO497" s="2"/>
      <c r="AP497" s="4"/>
      <c r="AQ497" s="2"/>
      <c r="AR497" s="5"/>
      <c r="AS497" s="1"/>
      <c r="AT497" s="1"/>
      <c r="AU497" s="1"/>
      <c r="AV497" s="1"/>
      <c r="AW497" s="1"/>
      <c r="AX497" s="1"/>
      <c r="AY497" s="1"/>
      <c r="AZ497" s="1"/>
    </row>
    <row r="498" spans="27:52" x14ac:dyDescent="0.25">
      <c r="AA498" s="1"/>
      <c r="AB498" s="1"/>
      <c r="AC498" s="31"/>
      <c r="AD498" s="32"/>
      <c r="AE498" s="33">
        <f t="shared" si="39"/>
        <v>19</v>
      </c>
      <c r="AF498" s="41">
        <f t="shared" si="40"/>
        <v>-6</v>
      </c>
      <c r="AG498" s="42">
        <f t="shared" si="41"/>
        <v>0</v>
      </c>
      <c r="AH498" s="42">
        <f t="shared" si="42"/>
        <v>-6</v>
      </c>
      <c r="AI498" s="43">
        <f t="shared" si="43"/>
        <v>0.01</v>
      </c>
      <c r="AJ498" s="2"/>
      <c r="AK498" s="2"/>
      <c r="AL498" s="3"/>
      <c r="AM498" s="1"/>
      <c r="AN498" s="3"/>
      <c r="AO498" s="2"/>
      <c r="AP498" s="4"/>
      <c r="AQ498" s="2"/>
      <c r="AR498" s="5"/>
      <c r="AS498" s="1"/>
      <c r="AT498" s="1"/>
      <c r="AU498" s="1"/>
      <c r="AV498" s="1"/>
      <c r="AW498" s="1"/>
      <c r="AX498" s="1"/>
      <c r="AY498" s="1"/>
      <c r="AZ498" s="1"/>
    </row>
    <row r="499" spans="27:52" x14ac:dyDescent="0.25">
      <c r="AA499" s="1"/>
      <c r="AB499" s="1"/>
      <c r="AC499" s="31"/>
      <c r="AD499" s="32"/>
      <c r="AE499" s="33">
        <f t="shared" si="39"/>
        <v>19</v>
      </c>
      <c r="AF499" s="41">
        <f t="shared" si="40"/>
        <v>-6</v>
      </c>
      <c r="AG499" s="42">
        <f t="shared" si="41"/>
        <v>0</v>
      </c>
      <c r="AH499" s="42">
        <f t="shared" si="42"/>
        <v>-6</v>
      </c>
      <c r="AI499" s="43">
        <f t="shared" si="43"/>
        <v>0.01</v>
      </c>
      <c r="AJ499" s="2"/>
      <c r="AK499" s="2"/>
      <c r="AL499" s="3"/>
      <c r="AM499" s="1"/>
      <c r="AN499" s="3"/>
      <c r="AO499" s="2"/>
      <c r="AP499" s="4"/>
      <c r="AQ499" s="2"/>
      <c r="AR499" s="5"/>
      <c r="AS499" s="1"/>
      <c r="AT499" s="1"/>
      <c r="AU499" s="1"/>
      <c r="AV499" s="1"/>
      <c r="AW499" s="1"/>
      <c r="AX499" s="1"/>
      <c r="AY499" s="1"/>
      <c r="AZ499" s="1"/>
    </row>
    <row r="500" spans="27:52" ht="15.75" thickBot="1" x14ac:dyDescent="0.3">
      <c r="AA500" s="1"/>
      <c r="AB500" s="1"/>
      <c r="AC500" s="35"/>
      <c r="AD500" s="36"/>
      <c r="AE500" s="37">
        <f t="shared" si="39"/>
        <v>19</v>
      </c>
      <c r="AF500" s="44">
        <f t="shared" si="40"/>
        <v>-6</v>
      </c>
      <c r="AG500" s="45">
        <f t="shared" si="41"/>
        <v>0</v>
      </c>
      <c r="AH500" s="45">
        <f t="shared" si="42"/>
        <v>-6</v>
      </c>
      <c r="AI500" s="46">
        <f t="shared" si="43"/>
        <v>0.01</v>
      </c>
      <c r="AJ500" s="2"/>
      <c r="AK500" s="2"/>
      <c r="AL500" s="3"/>
      <c r="AM500" s="1"/>
      <c r="AN500" s="3"/>
      <c r="AO500" s="2"/>
      <c r="AP500" s="4"/>
      <c r="AQ500" s="2"/>
      <c r="AR500" s="5"/>
      <c r="AS500" s="1"/>
      <c r="AT500" s="1"/>
      <c r="AU500" s="1"/>
      <c r="AV500" s="1"/>
      <c r="AW500" s="1"/>
      <c r="AX500" s="1"/>
      <c r="AY500" s="1"/>
      <c r="AZ500" s="1"/>
    </row>
    <row r="501" spans="27:52" x14ac:dyDescent="0.25">
      <c r="AA501" s="1"/>
      <c r="AB501" s="1"/>
      <c r="AC501" s="1"/>
      <c r="AD501" s="2"/>
      <c r="AE501" s="2"/>
      <c r="AF501" s="2"/>
      <c r="AG501" s="4"/>
      <c r="AH501" s="2"/>
      <c r="AI501" s="5"/>
      <c r="AJ501" s="2"/>
      <c r="AK501" s="2"/>
      <c r="AL501" s="3"/>
      <c r="AM501" s="1"/>
      <c r="AN501" s="3"/>
      <c r="AO501" s="2"/>
      <c r="AP501" s="4"/>
      <c r="AQ501" s="2"/>
      <c r="AR501" s="5"/>
      <c r="AS501" s="1"/>
      <c r="AT501" s="1"/>
      <c r="AU501" s="1"/>
      <c r="AV501" s="1"/>
      <c r="AW501" s="1"/>
      <c r="AX501" s="1"/>
      <c r="AY501" s="1"/>
      <c r="AZ501" s="1"/>
    </row>
    <row r="502" spans="27:52" x14ac:dyDescent="0.25"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3"/>
      <c r="AM502" s="1"/>
      <c r="AN502" s="3"/>
      <c r="AO502" s="2"/>
      <c r="AP502" s="4"/>
      <c r="AQ502" s="2"/>
      <c r="AR502" s="5"/>
      <c r="AS502" s="1"/>
      <c r="AT502" s="1"/>
      <c r="AU502" s="1"/>
      <c r="AV502" s="1"/>
      <c r="AW502" s="1"/>
      <c r="AX502" s="1"/>
      <c r="AY502" s="1"/>
      <c r="AZ502" s="1"/>
    </row>
    <row r="503" spans="27:52" x14ac:dyDescent="0.25"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3"/>
      <c r="AM503" s="1"/>
      <c r="AN503" s="3"/>
      <c r="AO503" s="2"/>
      <c r="AP503" s="4"/>
      <c r="AQ503" s="2"/>
      <c r="AR503" s="5"/>
      <c r="AS503" s="1"/>
      <c r="AT503" s="1"/>
      <c r="AU503" s="1"/>
      <c r="AV503" s="1"/>
      <c r="AW503" s="1"/>
      <c r="AX503" s="1"/>
      <c r="AY503" s="1"/>
      <c r="AZ503" s="1"/>
    </row>
    <row r="504" spans="27:52" x14ac:dyDescent="0.25"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27:52" x14ac:dyDescent="0.25"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</sheetData>
  <mergeCells count="26">
    <mergeCell ref="AL2:AP2"/>
    <mergeCell ref="AJ1:AU1"/>
    <mergeCell ref="B15:C15"/>
    <mergeCell ref="B16:C16"/>
    <mergeCell ref="B17:C17"/>
    <mergeCell ref="D15:E15"/>
    <mergeCell ref="B14:E14"/>
    <mergeCell ref="C9:D9"/>
    <mergeCell ref="C10:D10"/>
    <mergeCell ref="AQ2:AU2"/>
    <mergeCell ref="C8:D8"/>
    <mergeCell ref="AJ2:AK2"/>
    <mergeCell ref="C7:D7"/>
    <mergeCell ref="B2:D2"/>
    <mergeCell ref="D17:E17"/>
    <mergeCell ref="D16:E16"/>
    <mergeCell ref="Q26:R26"/>
    <mergeCell ref="Q20:R23"/>
    <mergeCell ref="C3:D3"/>
    <mergeCell ref="C4:D4"/>
    <mergeCell ref="C5:D5"/>
    <mergeCell ref="C6:D6"/>
    <mergeCell ref="B18:C18"/>
    <mergeCell ref="B19:C19"/>
    <mergeCell ref="D18:E18"/>
    <mergeCell ref="D19:E19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Brayan Morales</dc:creator>
  <cp:lastModifiedBy>Brayan Vásquez</cp:lastModifiedBy>
  <dcterms:created xsi:type="dcterms:W3CDTF">2022-05-14T20:13:36Z</dcterms:created>
  <dcterms:modified xsi:type="dcterms:W3CDTF">2025-03-29T03:25:26Z</dcterms:modified>
</cp:coreProperties>
</file>