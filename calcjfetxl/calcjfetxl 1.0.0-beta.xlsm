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yan\Desktop\"/>
    </mc:Choice>
  </mc:AlternateContent>
  <xr:revisionPtr revIDLastSave="0" documentId="13_ncr:1_{F239A742-37BF-444B-9378-1D1E19A8610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1" l="1"/>
  <c r="BA6" i="1" s="1"/>
  <c r="BA3" i="1" l="1"/>
  <c r="AZ4" i="1" l="1"/>
  <c r="AW12" i="1"/>
  <c r="AX11" i="1"/>
  <c r="AZ3" i="1" l="1"/>
  <c r="BB4" i="1" l="1"/>
  <c r="BA4" i="1"/>
  <c r="AW11" i="1"/>
  <c r="AX12" i="1" l="1"/>
  <c r="BC4" i="1"/>
  <c r="BC5" i="1"/>
  <c r="AS3" i="1"/>
  <c r="AU9" i="1" s="1"/>
  <c r="AR1" i="1" l="1"/>
  <c r="AL1" i="1"/>
  <c r="AM1" i="1" s="1"/>
  <c r="B24" i="1"/>
  <c r="B25" i="1"/>
  <c r="B26" i="1"/>
  <c r="AV6" i="1" l="1"/>
  <c r="AV11" i="1" s="1"/>
  <c r="AW3" i="1"/>
  <c r="AU6" i="1"/>
  <c r="AU11" i="1" s="1"/>
  <c r="BC6" i="1"/>
  <c r="AR2" i="1"/>
  <c r="AN1" i="1"/>
  <c r="BD4" i="1" l="1"/>
  <c r="AU12" i="1" s="1"/>
  <c r="AV12" i="1"/>
  <c r="AR3" i="1"/>
  <c r="AR4" i="1" s="1"/>
  <c r="AN2" i="1" l="1"/>
  <c r="AN3" i="1" s="1"/>
  <c r="AN4" i="1" s="1"/>
  <c r="AN5" i="1" s="1"/>
  <c r="AN6" i="1" s="1"/>
  <c r="AN7" i="1" s="1"/>
  <c r="AN8" i="1" s="1"/>
  <c r="AN9" i="1" s="1"/>
  <c r="AN10" i="1" s="1"/>
  <c r="AN11" i="1" s="1"/>
  <c r="AN12" i="1" s="1"/>
  <c r="AN13" i="1" s="1"/>
  <c r="AN14" i="1" s="1"/>
  <c r="AN15" i="1" s="1"/>
  <c r="AN16" i="1" s="1"/>
  <c r="AN17" i="1" s="1"/>
  <c r="AN18" i="1" s="1"/>
  <c r="AN19" i="1" s="1"/>
  <c r="AR5" i="1"/>
  <c r="AQ1" i="1"/>
  <c r="D25" i="1"/>
  <c r="D24" i="1"/>
  <c r="D23" i="1"/>
  <c r="AN20" i="1" l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N40" i="1" s="1"/>
  <c r="AN41" i="1" s="1"/>
  <c r="AN42" i="1" s="1"/>
  <c r="AN43" i="1" s="1"/>
  <c r="AN44" i="1" s="1"/>
  <c r="AN45" i="1" s="1"/>
  <c r="AN46" i="1" s="1"/>
  <c r="AN47" i="1" s="1"/>
  <c r="AN48" i="1" s="1"/>
  <c r="AN49" i="1" s="1"/>
  <c r="AN50" i="1" s="1"/>
  <c r="AN51" i="1" s="1"/>
  <c r="AN52" i="1" s="1"/>
  <c r="AN53" i="1" s="1"/>
  <c r="AN54" i="1" s="1"/>
  <c r="AN55" i="1" s="1"/>
  <c r="AN56" i="1" s="1"/>
  <c r="AN57" i="1" s="1"/>
  <c r="AN58" i="1" s="1"/>
  <c r="AN59" i="1" s="1"/>
  <c r="AN60" i="1" s="1"/>
  <c r="AN61" i="1" s="1"/>
  <c r="AN62" i="1" s="1"/>
  <c r="AN63" i="1" s="1"/>
  <c r="AN64" i="1" s="1"/>
  <c r="AN65" i="1" s="1"/>
  <c r="AN66" i="1" s="1"/>
  <c r="AN67" i="1" s="1"/>
  <c r="AN68" i="1" s="1"/>
  <c r="AN69" i="1" s="1"/>
  <c r="AN70" i="1" s="1"/>
  <c r="AN71" i="1" s="1"/>
  <c r="AN72" i="1" s="1"/>
  <c r="AN73" i="1" s="1"/>
  <c r="AN74" i="1" s="1"/>
  <c r="AN75" i="1" s="1"/>
  <c r="AN76" i="1" s="1"/>
  <c r="AN77" i="1" s="1"/>
  <c r="AN78" i="1" s="1"/>
  <c r="AN79" i="1" s="1"/>
  <c r="AN80" i="1" s="1"/>
  <c r="AN81" i="1" s="1"/>
  <c r="AN82" i="1" s="1"/>
  <c r="AN83" i="1" s="1"/>
  <c r="AN84" i="1" s="1"/>
  <c r="AN85" i="1" s="1"/>
  <c r="AN86" i="1" s="1"/>
  <c r="AN87" i="1" s="1"/>
  <c r="AN88" i="1" s="1"/>
  <c r="AN89" i="1" s="1"/>
  <c r="AN90" i="1" s="1"/>
  <c r="AN91" i="1" s="1"/>
  <c r="AN92" i="1" s="1"/>
  <c r="AN93" i="1" s="1"/>
  <c r="AN94" i="1" s="1"/>
  <c r="AN95" i="1" s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N120" i="1" s="1"/>
  <c r="AN121" i="1" s="1"/>
  <c r="AN122" i="1" s="1"/>
  <c r="AN123" i="1" s="1"/>
  <c r="AN124" i="1" s="1"/>
  <c r="AN125" i="1" s="1"/>
  <c r="AN126" i="1" s="1"/>
  <c r="AN127" i="1" s="1"/>
  <c r="AN128" i="1" s="1"/>
  <c r="AN129" i="1" s="1"/>
  <c r="AN130" i="1" s="1"/>
  <c r="AN131" i="1" s="1"/>
  <c r="AN132" i="1" s="1"/>
  <c r="AN133" i="1" s="1"/>
  <c r="AN134" i="1" s="1"/>
  <c r="AN135" i="1" s="1"/>
  <c r="AN136" i="1" s="1"/>
  <c r="AN137" i="1" s="1"/>
  <c r="AN138" i="1" s="1"/>
  <c r="AN139" i="1" s="1"/>
  <c r="AN140" i="1" s="1"/>
  <c r="AN141" i="1" s="1"/>
  <c r="AN142" i="1" s="1"/>
  <c r="AN143" i="1" s="1"/>
  <c r="AN144" i="1" s="1"/>
  <c r="AN145" i="1" s="1"/>
  <c r="AN146" i="1" s="1"/>
  <c r="AN147" i="1" s="1"/>
  <c r="AN148" i="1" s="1"/>
  <c r="AN149" i="1" s="1"/>
  <c r="AN150" i="1" s="1"/>
  <c r="AN151" i="1" s="1"/>
  <c r="AN152" i="1" s="1"/>
  <c r="AN153" i="1" s="1"/>
  <c r="AN154" i="1" s="1"/>
  <c r="AN155" i="1" s="1"/>
  <c r="AN156" i="1" s="1"/>
  <c r="AN157" i="1" s="1"/>
  <c r="AN158" i="1" s="1"/>
  <c r="AN159" i="1" s="1"/>
  <c r="AN160" i="1" s="1"/>
  <c r="AN161" i="1" s="1"/>
  <c r="AN162" i="1" s="1"/>
  <c r="AN163" i="1" s="1"/>
  <c r="AN164" i="1" s="1"/>
  <c r="AN165" i="1" s="1"/>
  <c r="AN166" i="1" s="1"/>
  <c r="AN167" i="1" s="1"/>
  <c r="AN168" i="1" s="1"/>
  <c r="AN169" i="1" s="1"/>
  <c r="AN170" i="1" s="1"/>
  <c r="AN171" i="1" s="1"/>
  <c r="AN172" i="1" s="1"/>
  <c r="AN173" i="1" s="1"/>
  <c r="AN174" i="1" s="1"/>
  <c r="AN175" i="1" s="1"/>
  <c r="AN176" i="1" s="1"/>
  <c r="AN177" i="1" s="1"/>
  <c r="AN178" i="1" s="1"/>
  <c r="AN179" i="1" s="1"/>
  <c r="AN180" i="1" s="1"/>
  <c r="AN181" i="1" s="1"/>
  <c r="AN182" i="1" s="1"/>
  <c r="AN183" i="1" s="1"/>
  <c r="AN184" i="1" s="1"/>
  <c r="AN185" i="1" s="1"/>
  <c r="AN186" i="1" s="1"/>
  <c r="AN187" i="1" s="1"/>
  <c r="AN188" i="1" s="1"/>
  <c r="AN189" i="1" s="1"/>
  <c r="AN190" i="1" s="1"/>
  <c r="AN191" i="1" s="1"/>
  <c r="AN192" i="1" s="1"/>
  <c r="AN193" i="1" s="1"/>
  <c r="AN194" i="1" s="1"/>
  <c r="AN195" i="1" s="1"/>
  <c r="AN196" i="1" s="1"/>
  <c r="AN197" i="1" s="1"/>
  <c r="AN198" i="1" s="1"/>
  <c r="AN199" i="1" s="1"/>
  <c r="AN200" i="1" s="1"/>
  <c r="AN201" i="1" s="1"/>
  <c r="AN202" i="1" s="1"/>
  <c r="AN203" i="1" s="1"/>
  <c r="AN204" i="1" s="1"/>
  <c r="AN205" i="1" s="1"/>
  <c r="AN206" i="1" s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N232" i="1" s="1"/>
  <c r="AN233" i="1" s="1"/>
  <c r="AN234" i="1" s="1"/>
  <c r="AN235" i="1" s="1"/>
  <c r="AN236" i="1" s="1"/>
  <c r="AN237" i="1" s="1"/>
  <c r="AN238" i="1" s="1"/>
  <c r="AN239" i="1" s="1"/>
  <c r="AN240" i="1" s="1"/>
  <c r="AN241" i="1" s="1"/>
  <c r="AN242" i="1" s="1"/>
  <c r="AN243" i="1" s="1"/>
  <c r="AN244" i="1" s="1"/>
  <c r="AN245" i="1" s="1"/>
  <c r="AN246" i="1" s="1"/>
  <c r="AN247" i="1" s="1"/>
  <c r="AN248" i="1" s="1"/>
  <c r="AN249" i="1" s="1"/>
  <c r="AN250" i="1" s="1"/>
  <c r="AN251" i="1" s="1"/>
  <c r="AN252" i="1" s="1"/>
  <c r="AN253" i="1" s="1"/>
  <c r="AN254" i="1" s="1"/>
  <c r="AN255" i="1" s="1"/>
  <c r="AN256" i="1" s="1"/>
  <c r="AN257" i="1" s="1"/>
  <c r="AN258" i="1" s="1"/>
  <c r="AN259" i="1" s="1"/>
  <c r="AN260" i="1" s="1"/>
  <c r="AN261" i="1" s="1"/>
  <c r="AN262" i="1" s="1"/>
  <c r="AN263" i="1" s="1"/>
  <c r="AN264" i="1" s="1"/>
  <c r="AN265" i="1" s="1"/>
  <c r="AN266" i="1" s="1"/>
  <c r="AN267" i="1" s="1"/>
  <c r="AN268" i="1" s="1"/>
  <c r="AN269" i="1" s="1"/>
  <c r="AN270" i="1" s="1"/>
  <c r="AN271" i="1" s="1"/>
  <c r="AN272" i="1" s="1"/>
  <c r="AN273" i="1" s="1"/>
  <c r="AN274" i="1" s="1"/>
  <c r="AN275" i="1" s="1"/>
  <c r="AN276" i="1" s="1"/>
  <c r="AN277" i="1" s="1"/>
  <c r="AN278" i="1" s="1"/>
  <c r="AN279" i="1" s="1"/>
  <c r="AN280" i="1" s="1"/>
  <c r="AN281" i="1" s="1"/>
  <c r="AN282" i="1" s="1"/>
  <c r="AN283" i="1" s="1"/>
  <c r="AN284" i="1" s="1"/>
  <c r="AN285" i="1" s="1"/>
  <c r="AN286" i="1" s="1"/>
  <c r="AN287" i="1" s="1"/>
  <c r="AN288" i="1" s="1"/>
  <c r="AN289" i="1" s="1"/>
  <c r="AN290" i="1" s="1"/>
  <c r="AN291" i="1" s="1"/>
  <c r="AN292" i="1" s="1"/>
  <c r="AN293" i="1" s="1"/>
  <c r="AN294" i="1" s="1"/>
  <c r="AN295" i="1" s="1"/>
  <c r="AN296" i="1" s="1"/>
  <c r="AN297" i="1" s="1"/>
  <c r="AN298" i="1" s="1"/>
  <c r="AN299" i="1" s="1"/>
  <c r="AN300" i="1" s="1"/>
  <c r="AN301" i="1" s="1"/>
  <c r="AN302" i="1" s="1"/>
  <c r="AN303" i="1" s="1"/>
  <c r="AN304" i="1" s="1"/>
  <c r="AN305" i="1" s="1"/>
  <c r="AN306" i="1" s="1"/>
  <c r="AN307" i="1" s="1"/>
  <c r="AN308" i="1" s="1"/>
  <c r="AN309" i="1" s="1"/>
  <c r="AN310" i="1" s="1"/>
  <c r="AN311" i="1" s="1"/>
  <c r="AN312" i="1" s="1"/>
  <c r="AN313" i="1" s="1"/>
  <c r="AN314" i="1" s="1"/>
  <c r="AN315" i="1" s="1"/>
  <c r="AN316" i="1" s="1"/>
  <c r="AN317" i="1" s="1"/>
  <c r="AN318" i="1" s="1"/>
  <c r="AN319" i="1" s="1"/>
  <c r="AN320" i="1" s="1"/>
  <c r="AN321" i="1" s="1"/>
  <c r="AN322" i="1" s="1"/>
  <c r="AN323" i="1" s="1"/>
  <c r="AN324" i="1" s="1"/>
  <c r="AN325" i="1" s="1"/>
  <c r="AN326" i="1" s="1"/>
  <c r="AN327" i="1" s="1"/>
  <c r="AN328" i="1" s="1"/>
  <c r="AN329" i="1" s="1"/>
  <c r="AN330" i="1" s="1"/>
  <c r="AN331" i="1" s="1"/>
  <c r="AN332" i="1" s="1"/>
  <c r="AN333" i="1" s="1"/>
  <c r="AN334" i="1" s="1"/>
  <c r="AN335" i="1" s="1"/>
  <c r="AN336" i="1" s="1"/>
  <c r="AN337" i="1" s="1"/>
  <c r="AN338" i="1" s="1"/>
  <c r="AN339" i="1" s="1"/>
  <c r="AN340" i="1" s="1"/>
  <c r="AN341" i="1" s="1"/>
  <c r="AN342" i="1" s="1"/>
  <c r="AN343" i="1" s="1"/>
  <c r="AN344" i="1" s="1"/>
  <c r="AN345" i="1" s="1"/>
  <c r="AN346" i="1" s="1"/>
  <c r="AN347" i="1" s="1"/>
  <c r="AN348" i="1" s="1"/>
  <c r="AN349" i="1" s="1"/>
  <c r="AN350" i="1" s="1"/>
  <c r="AN351" i="1" s="1"/>
  <c r="AN352" i="1" s="1"/>
  <c r="AN353" i="1" s="1"/>
  <c r="AN354" i="1" s="1"/>
  <c r="AN355" i="1" s="1"/>
  <c r="AN356" i="1" s="1"/>
  <c r="AN357" i="1" s="1"/>
  <c r="AN358" i="1" s="1"/>
  <c r="AN359" i="1" s="1"/>
  <c r="AN360" i="1" s="1"/>
  <c r="AN361" i="1" s="1"/>
  <c r="AN362" i="1" s="1"/>
  <c r="AN363" i="1" s="1"/>
  <c r="AN364" i="1" s="1"/>
  <c r="AN365" i="1" s="1"/>
  <c r="AN366" i="1" s="1"/>
  <c r="AN367" i="1" s="1"/>
  <c r="AN368" i="1" s="1"/>
  <c r="AN369" i="1" s="1"/>
  <c r="AN370" i="1" s="1"/>
  <c r="AN371" i="1" s="1"/>
  <c r="AN372" i="1" s="1"/>
  <c r="AN373" i="1" s="1"/>
  <c r="AN374" i="1" s="1"/>
  <c r="AN375" i="1" s="1"/>
  <c r="AN376" i="1" s="1"/>
  <c r="AN377" i="1" s="1"/>
  <c r="AN378" i="1" s="1"/>
  <c r="AN379" i="1" s="1"/>
  <c r="AN380" i="1" s="1"/>
  <c r="AN381" i="1" s="1"/>
  <c r="AN382" i="1" s="1"/>
  <c r="AN383" i="1" s="1"/>
  <c r="AN384" i="1" s="1"/>
  <c r="AN385" i="1" s="1"/>
  <c r="AN386" i="1" s="1"/>
  <c r="AN387" i="1" s="1"/>
  <c r="AN388" i="1" s="1"/>
  <c r="AN389" i="1" s="1"/>
  <c r="AN390" i="1" s="1"/>
  <c r="AN391" i="1" s="1"/>
  <c r="AN392" i="1" s="1"/>
  <c r="AN393" i="1" s="1"/>
  <c r="AN394" i="1" s="1"/>
  <c r="AN395" i="1" s="1"/>
  <c r="AN396" i="1" s="1"/>
  <c r="AN397" i="1" s="1"/>
  <c r="AN398" i="1" s="1"/>
  <c r="AN399" i="1" s="1"/>
  <c r="AN400" i="1" s="1"/>
  <c r="AN401" i="1" s="1"/>
  <c r="AN402" i="1" s="1"/>
  <c r="AN403" i="1" s="1"/>
  <c r="AN404" i="1" s="1"/>
  <c r="AN405" i="1" s="1"/>
  <c r="AN406" i="1" s="1"/>
  <c r="AN407" i="1" s="1"/>
  <c r="AN408" i="1" s="1"/>
  <c r="AN409" i="1" s="1"/>
  <c r="AN410" i="1" s="1"/>
  <c r="AN411" i="1" s="1"/>
  <c r="AN412" i="1" s="1"/>
  <c r="AN413" i="1" s="1"/>
  <c r="AN414" i="1" s="1"/>
  <c r="AN415" i="1" s="1"/>
  <c r="AN416" i="1" s="1"/>
  <c r="AN417" i="1" s="1"/>
  <c r="AN418" i="1" s="1"/>
  <c r="AN419" i="1" s="1"/>
  <c r="AN420" i="1" s="1"/>
  <c r="AN421" i="1" s="1"/>
  <c r="AN422" i="1" s="1"/>
  <c r="AN423" i="1" s="1"/>
  <c r="AN424" i="1" s="1"/>
  <c r="AN425" i="1" s="1"/>
  <c r="AN426" i="1" s="1"/>
  <c r="AN427" i="1" s="1"/>
  <c r="AN428" i="1" s="1"/>
  <c r="AN429" i="1" s="1"/>
  <c r="AN430" i="1" s="1"/>
  <c r="AN431" i="1" s="1"/>
  <c r="AN432" i="1" s="1"/>
  <c r="AN433" i="1" s="1"/>
  <c r="AN434" i="1" s="1"/>
  <c r="AN435" i="1" s="1"/>
  <c r="AN436" i="1" s="1"/>
  <c r="AN437" i="1" s="1"/>
  <c r="AN438" i="1" s="1"/>
  <c r="AN439" i="1" s="1"/>
  <c r="AN440" i="1" s="1"/>
  <c r="AN441" i="1" s="1"/>
  <c r="AN442" i="1" s="1"/>
  <c r="AN443" i="1" s="1"/>
  <c r="AN444" i="1" s="1"/>
  <c r="AN445" i="1" s="1"/>
  <c r="AN446" i="1" s="1"/>
  <c r="AN447" i="1" s="1"/>
  <c r="AN448" i="1" s="1"/>
  <c r="AN449" i="1" s="1"/>
  <c r="AN450" i="1" s="1"/>
  <c r="AN451" i="1" s="1"/>
  <c r="AN452" i="1" s="1"/>
  <c r="AN453" i="1" s="1"/>
  <c r="AN454" i="1" s="1"/>
  <c r="AN455" i="1" s="1"/>
  <c r="AN456" i="1" s="1"/>
  <c r="AN457" i="1" s="1"/>
  <c r="AN458" i="1" s="1"/>
  <c r="AN459" i="1" s="1"/>
  <c r="AN460" i="1" s="1"/>
  <c r="AN461" i="1" s="1"/>
  <c r="AN462" i="1" s="1"/>
  <c r="AN463" i="1" s="1"/>
  <c r="AN464" i="1" s="1"/>
  <c r="AN465" i="1" s="1"/>
  <c r="AN466" i="1" s="1"/>
  <c r="AN467" i="1" s="1"/>
  <c r="AN468" i="1" s="1"/>
  <c r="AN469" i="1" s="1"/>
  <c r="AN470" i="1" s="1"/>
  <c r="AN471" i="1" s="1"/>
  <c r="AN472" i="1" s="1"/>
  <c r="AN473" i="1" s="1"/>
  <c r="AN474" i="1" s="1"/>
  <c r="AN475" i="1" s="1"/>
  <c r="AN476" i="1" s="1"/>
  <c r="AN477" i="1" s="1"/>
  <c r="AN478" i="1" s="1"/>
  <c r="AN479" i="1" s="1"/>
  <c r="AN480" i="1" s="1"/>
  <c r="AN481" i="1" s="1"/>
  <c r="AN482" i="1" s="1"/>
  <c r="AN483" i="1" s="1"/>
  <c r="AN484" i="1" s="1"/>
  <c r="AN485" i="1" s="1"/>
  <c r="AN486" i="1" s="1"/>
  <c r="AN487" i="1" s="1"/>
  <c r="AN488" i="1" s="1"/>
  <c r="AN489" i="1" s="1"/>
  <c r="AN490" i="1" s="1"/>
  <c r="AN491" i="1" s="1"/>
  <c r="AN492" i="1" s="1"/>
  <c r="AN493" i="1" s="1"/>
  <c r="AN494" i="1" s="1"/>
  <c r="AN495" i="1" s="1"/>
  <c r="AN496" i="1" s="1"/>
  <c r="AN497" i="1" s="1"/>
  <c r="AN498" i="1" s="1"/>
  <c r="AN499" i="1" s="1"/>
  <c r="AN500" i="1" s="1"/>
  <c r="AV3" i="1"/>
  <c r="AU3" i="1"/>
  <c r="AP1" i="1"/>
  <c r="AT3" i="1"/>
  <c r="AV9" i="1" s="1"/>
  <c r="AQ2" i="1"/>
  <c r="AO2" i="1"/>
  <c r="AR6" i="1"/>
  <c r="AX3" i="1" l="1"/>
  <c r="AX4" i="1"/>
  <c r="AP2" i="1"/>
  <c r="AQ3" i="1"/>
  <c r="AO3" i="1"/>
  <c r="AR7" i="1"/>
  <c r="AX5" i="1" l="1"/>
  <c r="AY3" i="1" s="1"/>
  <c r="AZ9" i="1" s="1"/>
  <c r="AZ10" i="1" s="1"/>
  <c r="AO4" i="1"/>
  <c r="AQ4" i="1"/>
  <c r="AP3" i="1"/>
  <c r="AR8" i="1"/>
  <c r="BA9" i="1" l="1"/>
  <c r="AO5" i="1"/>
  <c r="AP4" i="1"/>
  <c r="AQ5" i="1"/>
  <c r="AR9" i="1"/>
  <c r="AP5" i="1" l="1"/>
  <c r="AO6" i="1"/>
  <c r="AQ6" i="1"/>
  <c r="AR10" i="1"/>
  <c r="AP6" i="1" l="1"/>
  <c r="AO7" i="1"/>
  <c r="AQ7" i="1"/>
  <c r="AR11" i="1"/>
  <c r="AP7" i="1" l="1"/>
  <c r="AO8" i="1"/>
  <c r="AQ8" i="1"/>
  <c r="AR12" i="1"/>
  <c r="AP8" i="1" l="1"/>
  <c r="AO9" i="1"/>
  <c r="AQ9" i="1"/>
  <c r="AR13" i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R40" i="1" s="1"/>
  <c r="AR41" i="1" s="1"/>
  <c r="AR42" i="1" s="1"/>
  <c r="AR43" i="1" s="1"/>
  <c r="AR44" i="1" s="1"/>
  <c r="AR45" i="1" s="1"/>
  <c r="AR46" i="1" s="1"/>
  <c r="AR47" i="1" s="1"/>
  <c r="AR48" i="1" s="1"/>
  <c r="AR49" i="1" s="1"/>
  <c r="AR50" i="1" s="1"/>
  <c r="AR51" i="1" s="1"/>
  <c r="AR52" i="1" s="1"/>
  <c r="AR53" i="1" s="1"/>
  <c r="AR54" i="1" s="1"/>
  <c r="AR55" i="1" s="1"/>
  <c r="AR56" i="1" s="1"/>
  <c r="AR57" i="1" s="1"/>
  <c r="AR58" i="1" s="1"/>
  <c r="AR59" i="1" s="1"/>
  <c r="AR60" i="1" s="1"/>
  <c r="AR61" i="1" s="1"/>
  <c r="AR62" i="1" s="1"/>
  <c r="AR63" i="1" s="1"/>
  <c r="AR64" i="1" s="1"/>
  <c r="AR65" i="1" s="1"/>
  <c r="AR66" i="1" s="1"/>
  <c r="AR67" i="1" s="1"/>
  <c r="AR68" i="1" s="1"/>
  <c r="AR69" i="1" s="1"/>
  <c r="AR70" i="1" s="1"/>
  <c r="AR71" i="1" s="1"/>
  <c r="AR72" i="1" s="1"/>
  <c r="AR73" i="1" s="1"/>
  <c r="AR74" i="1" s="1"/>
  <c r="AR75" i="1" s="1"/>
  <c r="AR76" i="1" s="1"/>
  <c r="AR77" i="1" s="1"/>
  <c r="AR78" i="1" s="1"/>
  <c r="AR79" i="1" s="1"/>
  <c r="AR80" i="1" s="1"/>
  <c r="AR81" i="1" s="1"/>
  <c r="AR82" i="1" s="1"/>
  <c r="AR83" i="1" s="1"/>
  <c r="AR84" i="1" s="1"/>
  <c r="AR85" i="1" s="1"/>
  <c r="AR86" i="1" s="1"/>
  <c r="AR87" i="1" s="1"/>
  <c r="AR88" i="1" s="1"/>
  <c r="AR89" i="1" s="1"/>
  <c r="AR90" i="1" s="1"/>
  <c r="AR91" i="1" s="1"/>
  <c r="AR92" i="1" s="1"/>
  <c r="AR93" i="1" s="1"/>
  <c r="AR94" i="1" s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R120" i="1" s="1"/>
  <c r="AR121" i="1" s="1"/>
  <c r="AR122" i="1" s="1"/>
  <c r="AR123" i="1" s="1"/>
  <c r="AR124" i="1" s="1"/>
  <c r="AR125" i="1" s="1"/>
  <c r="AR126" i="1" s="1"/>
  <c r="AR127" i="1" s="1"/>
  <c r="AR128" i="1" s="1"/>
  <c r="AR129" i="1" s="1"/>
  <c r="AR130" i="1" s="1"/>
  <c r="AR131" i="1" s="1"/>
  <c r="AR132" i="1" s="1"/>
  <c r="AR133" i="1" s="1"/>
  <c r="AR134" i="1" s="1"/>
  <c r="AR135" i="1" s="1"/>
  <c r="AR136" i="1" s="1"/>
  <c r="AR137" i="1" s="1"/>
  <c r="AR138" i="1" s="1"/>
  <c r="AR139" i="1" s="1"/>
  <c r="AR140" i="1" s="1"/>
  <c r="AR141" i="1" s="1"/>
  <c r="AR142" i="1" s="1"/>
  <c r="AR143" i="1" s="1"/>
  <c r="AR144" i="1" s="1"/>
  <c r="AR145" i="1" s="1"/>
  <c r="AR146" i="1" s="1"/>
  <c r="AR147" i="1" s="1"/>
  <c r="AR148" i="1" s="1"/>
  <c r="AR149" i="1" s="1"/>
  <c r="AR150" i="1" s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AR176" i="1" s="1"/>
  <c r="AR177" i="1" s="1"/>
  <c r="AR178" i="1" s="1"/>
  <c r="AR179" i="1" s="1"/>
  <c r="AR180" i="1" s="1"/>
  <c r="AR181" i="1" s="1"/>
  <c r="AR182" i="1" s="1"/>
  <c r="AR183" i="1" s="1"/>
  <c r="AR184" i="1" s="1"/>
  <c r="AR185" i="1" s="1"/>
  <c r="AR186" i="1" s="1"/>
  <c r="AR187" i="1" s="1"/>
  <c r="AR188" i="1" s="1"/>
  <c r="AR189" i="1" s="1"/>
  <c r="AR190" i="1" s="1"/>
  <c r="AR191" i="1" s="1"/>
  <c r="AR192" i="1" s="1"/>
  <c r="AR193" i="1" s="1"/>
  <c r="AR194" i="1" s="1"/>
  <c r="AR195" i="1" s="1"/>
  <c r="AR196" i="1" s="1"/>
  <c r="AR197" i="1" s="1"/>
  <c r="AR198" i="1" s="1"/>
  <c r="AR199" i="1" s="1"/>
  <c r="AR200" i="1" s="1"/>
  <c r="AR201" i="1" s="1"/>
  <c r="AR202" i="1" s="1"/>
  <c r="AR203" i="1" s="1"/>
  <c r="AR204" i="1" s="1"/>
  <c r="AR205" i="1" s="1"/>
  <c r="AR206" i="1" s="1"/>
  <c r="AR207" i="1" s="1"/>
  <c r="AR208" i="1" s="1"/>
  <c r="AR209" i="1" s="1"/>
  <c r="AR210" i="1" s="1"/>
  <c r="AR211" i="1" s="1"/>
  <c r="AR212" i="1" s="1"/>
  <c r="AO10" i="1" l="1"/>
  <c r="AP9" i="1"/>
  <c r="AQ10" i="1"/>
  <c r="AR213" i="1"/>
  <c r="AP10" i="1" l="1"/>
  <c r="AO11" i="1"/>
  <c r="AQ11" i="1"/>
  <c r="AR214" i="1"/>
  <c r="AO12" i="1" l="1"/>
  <c r="AP11" i="1"/>
  <c r="AQ12" i="1"/>
  <c r="AR215" i="1"/>
  <c r="AP12" i="1" l="1"/>
  <c r="AO13" i="1"/>
  <c r="AQ13" i="1"/>
  <c r="AR216" i="1"/>
  <c r="AO14" i="1" l="1"/>
  <c r="AP13" i="1"/>
  <c r="AQ14" i="1"/>
  <c r="AR217" i="1"/>
  <c r="AP14" i="1" l="1"/>
  <c r="AO15" i="1"/>
  <c r="AQ15" i="1"/>
  <c r="AR218" i="1"/>
  <c r="AO16" i="1" l="1"/>
  <c r="AP15" i="1"/>
  <c r="AQ16" i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Q53" i="1" s="1"/>
  <c r="AQ54" i="1" s="1"/>
  <c r="AQ55" i="1" s="1"/>
  <c r="AQ56" i="1" s="1"/>
  <c r="AQ57" i="1" s="1"/>
  <c r="AQ58" i="1" s="1"/>
  <c r="AQ59" i="1" s="1"/>
  <c r="AQ60" i="1" s="1"/>
  <c r="AQ61" i="1" s="1"/>
  <c r="AQ62" i="1" s="1"/>
  <c r="AQ63" i="1" s="1"/>
  <c r="AQ64" i="1" s="1"/>
  <c r="AQ65" i="1" s="1"/>
  <c r="AQ66" i="1" s="1"/>
  <c r="AQ67" i="1" s="1"/>
  <c r="AQ68" i="1" s="1"/>
  <c r="AQ69" i="1" s="1"/>
  <c r="AQ70" i="1" s="1"/>
  <c r="AQ71" i="1" s="1"/>
  <c r="AQ72" i="1" s="1"/>
  <c r="AQ73" i="1" s="1"/>
  <c r="AQ74" i="1" s="1"/>
  <c r="AQ75" i="1" s="1"/>
  <c r="AQ76" i="1" s="1"/>
  <c r="AQ77" i="1" s="1"/>
  <c r="AQ78" i="1" s="1"/>
  <c r="AQ79" i="1" s="1"/>
  <c r="AQ80" i="1" s="1"/>
  <c r="AQ81" i="1" s="1"/>
  <c r="AQ82" i="1" s="1"/>
  <c r="AQ83" i="1" s="1"/>
  <c r="AQ84" i="1" s="1"/>
  <c r="AQ85" i="1" s="1"/>
  <c r="AQ86" i="1" s="1"/>
  <c r="AQ87" i="1" s="1"/>
  <c r="AQ88" i="1" s="1"/>
  <c r="AQ89" i="1" s="1"/>
  <c r="AQ90" i="1" s="1"/>
  <c r="AQ91" i="1" s="1"/>
  <c r="AQ92" i="1" s="1"/>
  <c r="AQ93" i="1" s="1"/>
  <c r="AQ94" i="1" s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AQ143" i="1" s="1"/>
  <c r="AQ144" i="1" s="1"/>
  <c r="AQ145" i="1" s="1"/>
  <c r="AQ146" i="1" s="1"/>
  <c r="AQ147" i="1" s="1"/>
  <c r="AQ148" i="1" s="1"/>
  <c r="AQ149" i="1" s="1"/>
  <c r="AQ150" i="1" s="1"/>
  <c r="AQ151" i="1" s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Q176" i="1" s="1"/>
  <c r="AQ177" i="1" s="1"/>
  <c r="AQ178" i="1" s="1"/>
  <c r="AQ179" i="1" s="1"/>
  <c r="AQ180" i="1" s="1"/>
  <c r="AQ181" i="1" s="1"/>
  <c r="AQ182" i="1" s="1"/>
  <c r="AQ183" i="1" s="1"/>
  <c r="AQ184" i="1" s="1"/>
  <c r="AQ185" i="1" s="1"/>
  <c r="AQ186" i="1" s="1"/>
  <c r="AQ187" i="1" s="1"/>
  <c r="AQ188" i="1" s="1"/>
  <c r="AQ189" i="1" s="1"/>
  <c r="AQ190" i="1" s="1"/>
  <c r="AQ191" i="1" s="1"/>
  <c r="AQ192" i="1" s="1"/>
  <c r="AQ193" i="1" s="1"/>
  <c r="AQ194" i="1" s="1"/>
  <c r="AQ195" i="1" s="1"/>
  <c r="AQ196" i="1" s="1"/>
  <c r="AQ197" i="1" s="1"/>
  <c r="AQ198" i="1" s="1"/>
  <c r="AQ199" i="1" s="1"/>
  <c r="AQ200" i="1" s="1"/>
  <c r="AQ201" i="1" s="1"/>
  <c r="AQ202" i="1" s="1"/>
  <c r="AQ203" i="1" s="1"/>
  <c r="AQ204" i="1" s="1"/>
  <c r="AQ205" i="1" s="1"/>
  <c r="AQ206" i="1" s="1"/>
  <c r="AQ207" i="1" s="1"/>
  <c r="AQ208" i="1" s="1"/>
  <c r="AQ209" i="1" s="1"/>
  <c r="AQ210" i="1" s="1"/>
  <c r="AQ211" i="1" s="1"/>
  <c r="AQ212" i="1" s="1"/>
  <c r="AQ213" i="1" s="1"/>
  <c r="AQ214" i="1" s="1"/>
  <c r="AQ215" i="1" s="1"/>
  <c r="AQ216" i="1" s="1"/>
  <c r="AQ217" i="1" s="1"/>
  <c r="AQ218" i="1" s="1"/>
  <c r="AQ219" i="1" s="1"/>
  <c r="AQ220" i="1" s="1"/>
  <c r="AQ221" i="1" s="1"/>
  <c r="AQ222" i="1" s="1"/>
  <c r="AQ223" i="1" s="1"/>
  <c r="AQ224" i="1" s="1"/>
  <c r="AQ225" i="1" s="1"/>
  <c r="AQ226" i="1" s="1"/>
  <c r="AQ227" i="1" s="1"/>
  <c r="AQ228" i="1" s="1"/>
  <c r="AQ229" i="1" s="1"/>
  <c r="AQ230" i="1" s="1"/>
  <c r="AQ231" i="1" s="1"/>
  <c r="AQ232" i="1" s="1"/>
  <c r="AQ233" i="1" s="1"/>
  <c r="AQ234" i="1" s="1"/>
  <c r="AQ235" i="1" s="1"/>
  <c r="AQ236" i="1" s="1"/>
  <c r="AQ237" i="1" s="1"/>
  <c r="AQ238" i="1" s="1"/>
  <c r="AQ239" i="1" s="1"/>
  <c r="AQ240" i="1" s="1"/>
  <c r="AQ241" i="1" s="1"/>
  <c r="AQ242" i="1" s="1"/>
  <c r="AQ243" i="1" s="1"/>
  <c r="AQ244" i="1" s="1"/>
  <c r="AQ245" i="1" s="1"/>
  <c r="AQ246" i="1" s="1"/>
  <c r="AQ247" i="1" s="1"/>
  <c r="AQ248" i="1" s="1"/>
  <c r="AQ249" i="1" s="1"/>
  <c r="AQ250" i="1" s="1"/>
  <c r="AQ251" i="1" s="1"/>
  <c r="AQ252" i="1" s="1"/>
  <c r="AQ253" i="1" s="1"/>
  <c r="AQ254" i="1" s="1"/>
  <c r="AQ255" i="1" s="1"/>
  <c r="AQ256" i="1" s="1"/>
  <c r="AQ257" i="1" s="1"/>
  <c r="AQ258" i="1" s="1"/>
  <c r="AQ259" i="1" s="1"/>
  <c r="AQ260" i="1" s="1"/>
  <c r="AQ261" i="1" s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Q288" i="1" s="1"/>
  <c r="AQ289" i="1" s="1"/>
  <c r="AQ290" i="1" s="1"/>
  <c r="AQ291" i="1" s="1"/>
  <c r="AQ292" i="1" s="1"/>
  <c r="AQ293" i="1" s="1"/>
  <c r="AQ294" i="1" s="1"/>
  <c r="AQ295" i="1" s="1"/>
  <c r="AQ296" i="1" s="1"/>
  <c r="AQ297" i="1" s="1"/>
  <c r="AQ298" i="1" s="1"/>
  <c r="AQ299" i="1" s="1"/>
  <c r="AQ300" i="1" s="1"/>
  <c r="AQ301" i="1" s="1"/>
  <c r="AQ302" i="1" s="1"/>
  <c r="AQ303" i="1" s="1"/>
  <c r="AQ304" i="1" s="1"/>
  <c r="AQ305" i="1" s="1"/>
  <c r="AQ306" i="1" s="1"/>
  <c r="AQ307" i="1" s="1"/>
  <c r="AQ308" i="1" s="1"/>
  <c r="AQ309" i="1" s="1"/>
  <c r="AQ310" i="1" s="1"/>
  <c r="AQ311" i="1" s="1"/>
  <c r="AQ312" i="1" s="1"/>
  <c r="AQ313" i="1" s="1"/>
  <c r="AQ314" i="1" s="1"/>
  <c r="AQ315" i="1" s="1"/>
  <c r="AQ316" i="1" s="1"/>
  <c r="AQ317" i="1" s="1"/>
  <c r="AQ318" i="1" s="1"/>
  <c r="AQ319" i="1" s="1"/>
  <c r="AQ320" i="1" s="1"/>
  <c r="AQ321" i="1" s="1"/>
  <c r="AQ322" i="1" s="1"/>
  <c r="AQ323" i="1" s="1"/>
  <c r="AQ324" i="1" s="1"/>
  <c r="AQ325" i="1" s="1"/>
  <c r="AQ326" i="1" s="1"/>
  <c r="AQ327" i="1" s="1"/>
  <c r="AQ328" i="1" s="1"/>
  <c r="AQ329" i="1" s="1"/>
  <c r="AQ330" i="1" s="1"/>
  <c r="AQ331" i="1" s="1"/>
  <c r="AQ332" i="1" s="1"/>
  <c r="AQ333" i="1" s="1"/>
  <c r="AQ334" i="1" s="1"/>
  <c r="AQ335" i="1" s="1"/>
  <c r="AQ336" i="1" s="1"/>
  <c r="AQ337" i="1" s="1"/>
  <c r="AQ338" i="1" s="1"/>
  <c r="AQ339" i="1" s="1"/>
  <c r="AQ340" i="1" s="1"/>
  <c r="AQ341" i="1" s="1"/>
  <c r="AQ342" i="1" s="1"/>
  <c r="AQ343" i="1" s="1"/>
  <c r="AQ344" i="1" s="1"/>
  <c r="AQ345" i="1" s="1"/>
  <c r="AQ346" i="1" s="1"/>
  <c r="AQ347" i="1" s="1"/>
  <c r="AQ348" i="1" s="1"/>
  <c r="AQ349" i="1" s="1"/>
  <c r="AQ350" i="1" s="1"/>
  <c r="AQ351" i="1" s="1"/>
  <c r="AQ352" i="1" s="1"/>
  <c r="AQ353" i="1" s="1"/>
  <c r="AQ354" i="1" s="1"/>
  <c r="AQ355" i="1" s="1"/>
  <c r="AQ356" i="1" s="1"/>
  <c r="AQ357" i="1" s="1"/>
  <c r="AQ358" i="1" s="1"/>
  <c r="AQ359" i="1" s="1"/>
  <c r="AQ360" i="1" s="1"/>
  <c r="AQ361" i="1" s="1"/>
  <c r="AQ362" i="1" s="1"/>
  <c r="AQ363" i="1" s="1"/>
  <c r="AQ364" i="1" s="1"/>
  <c r="AQ365" i="1" s="1"/>
  <c r="AQ366" i="1" s="1"/>
  <c r="AQ367" i="1" s="1"/>
  <c r="AQ368" i="1" s="1"/>
  <c r="AQ369" i="1" s="1"/>
  <c r="AQ370" i="1" s="1"/>
  <c r="AQ371" i="1" s="1"/>
  <c r="AQ372" i="1" s="1"/>
  <c r="AQ373" i="1" s="1"/>
  <c r="AQ374" i="1" s="1"/>
  <c r="AQ375" i="1" s="1"/>
  <c r="AQ376" i="1" s="1"/>
  <c r="AQ377" i="1" s="1"/>
  <c r="AQ378" i="1" s="1"/>
  <c r="AQ379" i="1" s="1"/>
  <c r="AQ380" i="1" s="1"/>
  <c r="AQ381" i="1" s="1"/>
  <c r="AQ382" i="1" s="1"/>
  <c r="AQ383" i="1" s="1"/>
  <c r="AQ384" i="1" s="1"/>
  <c r="AQ385" i="1" s="1"/>
  <c r="AQ386" i="1" s="1"/>
  <c r="AQ387" i="1" s="1"/>
  <c r="AQ388" i="1" s="1"/>
  <c r="AQ389" i="1" s="1"/>
  <c r="AQ390" i="1" s="1"/>
  <c r="AQ391" i="1" s="1"/>
  <c r="AQ392" i="1" s="1"/>
  <c r="AQ393" i="1" s="1"/>
  <c r="AQ394" i="1" s="1"/>
  <c r="AQ395" i="1" s="1"/>
  <c r="AQ396" i="1" s="1"/>
  <c r="AQ397" i="1" s="1"/>
  <c r="AQ398" i="1" s="1"/>
  <c r="AQ399" i="1" s="1"/>
  <c r="AQ400" i="1" s="1"/>
  <c r="AQ401" i="1" s="1"/>
  <c r="AQ402" i="1" s="1"/>
  <c r="AQ403" i="1" s="1"/>
  <c r="AQ404" i="1" s="1"/>
  <c r="AQ405" i="1" s="1"/>
  <c r="AQ406" i="1" s="1"/>
  <c r="AQ407" i="1" s="1"/>
  <c r="AQ408" i="1" s="1"/>
  <c r="AQ409" i="1" s="1"/>
  <c r="AQ410" i="1" s="1"/>
  <c r="AQ411" i="1" s="1"/>
  <c r="AQ412" i="1" s="1"/>
  <c r="AQ413" i="1" s="1"/>
  <c r="AQ414" i="1" s="1"/>
  <c r="AQ415" i="1" s="1"/>
  <c r="AQ416" i="1" s="1"/>
  <c r="AQ417" i="1" s="1"/>
  <c r="AQ418" i="1" s="1"/>
  <c r="AQ419" i="1" s="1"/>
  <c r="AQ420" i="1" s="1"/>
  <c r="AQ421" i="1" s="1"/>
  <c r="AQ422" i="1" s="1"/>
  <c r="AQ423" i="1" s="1"/>
  <c r="AQ424" i="1" s="1"/>
  <c r="AQ425" i="1" s="1"/>
  <c r="AQ426" i="1" s="1"/>
  <c r="AQ427" i="1" s="1"/>
  <c r="AQ428" i="1" s="1"/>
  <c r="AQ429" i="1" s="1"/>
  <c r="AQ430" i="1" s="1"/>
  <c r="AQ431" i="1" s="1"/>
  <c r="AQ432" i="1" s="1"/>
  <c r="AQ433" i="1" s="1"/>
  <c r="AQ434" i="1" s="1"/>
  <c r="AQ435" i="1" s="1"/>
  <c r="AQ436" i="1" s="1"/>
  <c r="AQ437" i="1" s="1"/>
  <c r="AQ438" i="1" s="1"/>
  <c r="AQ439" i="1" s="1"/>
  <c r="AQ440" i="1" s="1"/>
  <c r="AQ441" i="1" s="1"/>
  <c r="AQ442" i="1" s="1"/>
  <c r="AQ443" i="1" s="1"/>
  <c r="AQ444" i="1" s="1"/>
  <c r="AQ445" i="1" s="1"/>
  <c r="AQ446" i="1" s="1"/>
  <c r="AQ447" i="1" s="1"/>
  <c r="AQ448" i="1" s="1"/>
  <c r="AQ449" i="1" s="1"/>
  <c r="AQ450" i="1" s="1"/>
  <c r="AQ451" i="1" s="1"/>
  <c r="AQ452" i="1" s="1"/>
  <c r="AQ453" i="1" s="1"/>
  <c r="AQ454" i="1" s="1"/>
  <c r="AQ455" i="1" s="1"/>
  <c r="AQ456" i="1" s="1"/>
  <c r="AQ457" i="1" s="1"/>
  <c r="AQ458" i="1" s="1"/>
  <c r="AQ459" i="1" s="1"/>
  <c r="AQ460" i="1" s="1"/>
  <c r="AQ461" i="1" s="1"/>
  <c r="AQ462" i="1" s="1"/>
  <c r="AQ463" i="1" s="1"/>
  <c r="AQ464" i="1" s="1"/>
  <c r="AQ465" i="1" s="1"/>
  <c r="AQ466" i="1" s="1"/>
  <c r="AQ467" i="1" s="1"/>
  <c r="AQ468" i="1" s="1"/>
  <c r="AQ469" i="1" s="1"/>
  <c r="AQ470" i="1" s="1"/>
  <c r="AQ471" i="1" s="1"/>
  <c r="AQ472" i="1" s="1"/>
  <c r="AQ473" i="1" s="1"/>
  <c r="AQ474" i="1" s="1"/>
  <c r="AQ475" i="1" s="1"/>
  <c r="AQ476" i="1" s="1"/>
  <c r="AQ477" i="1" s="1"/>
  <c r="AQ478" i="1" s="1"/>
  <c r="AQ479" i="1" s="1"/>
  <c r="AQ480" i="1" s="1"/>
  <c r="AQ481" i="1" s="1"/>
  <c r="AQ482" i="1" s="1"/>
  <c r="AQ483" i="1" s="1"/>
  <c r="AQ484" i="1" s="1"/>
  <c r="AQ485" i="1" s="1"/>
  <c r="AQ486" i="1" s="1"/>
  <c r="AQ487" i="1" s="1"/>
  <c r="AQ488" i="1" s="1"/>
  <c r="AQ489" i="1" s="1"/>
  <c r="AQ490" i="1" s="1"/>
  <c r="AQ491" i="1" s="1"/>
  <c r="AQ492" i="1" s="1"/>
  <c r="AQ493" i="1" s="1"/>
  <c r="AQ494" i="1" s="1"/>
  <c r="AQ495" i="1" s="1"/>
  <c r="AQ496" i="1" s="1"/>
  <c r="AQ497" i="1" s="1"/>
  <c r="AQ498" i="1" s="1"/>
  <c r="AQ499" i="1" s="1"/>
  <c r="AQ500" i="1" s="1"/>
  <c r="AR219" i="1"/>
  <c r="AO17" i="1" l="1"/>
  <c r="AO18" i="1" s="1"/>
  <c r="AP16" i="1"/>
  <c r="AR220" i="1"/>
  <c r="AP17" i="1" l="1"/>
  <c r="AR221" i="1"/>
  <c r="AO19" i="1"/>
  <c r="AP18" i="1"/>
  <c r="AR222" i="1" l="1"/>
  <c r="AO20" i="1"/>
  <c r="AP19" i="1"/>
  <c r="AR223" i="1" l="1"/>
  <c r="AO21" i="1"/>
  <c r="AP20" i="1"/>
  <c r="AR224" i="1" l="1"/>
  <c r="AO22" i="1"/>
  <c r="AP21" i="1"/>
  <c r="AR225" i="1" l="1"/>
  <c r="AO23" i="1"/>
  <c r="AP22" i="1"/>
  <c r="AR226" i="1" l="1"/>
  <c r="AO24" i="1"/>
  <c r="AP23" i="1"/>
  <c r="AR227" i="1" l="1"/>
  <c r="AO25" i="1"/>
  <c r="AP24" i="1"/>
  <c r="AR228" i="1" l="1"/>
  <c r="AO26" i="1"/>
  <c r="AP25" i="1"/>
  <c r="AR229" i="1" l="1"/>
  <c r="AO27" i="1"/>
  <c r="AP26" i="1"/>
  <c r="AR230" i="1" l="1"/>
  <c r="AO28" i="1"/>
  <c r="AP27" i="1"/>
  <c r="AR231" i="1" l="1"/>
  <c r="AO29" i="1"/>
  <c r="AP28" i="1"/>
  <c r="AR232" i="1" l="1"/>
  <c r="AO30" i="1"/>
  <c r="AP29" i="1"/>
  <c r="AR233" i="1" l="1"/>
  <c r="AO31" i="1"/>
  <c r="AP30" i="1"/>
  <c r="AR234" i="1" l="1"/>
  <c r="AO32" i="1"/>
  <c r="AP31" i="1"/>
  <c r="AR235" i="1" l="1"/>
  <c r="AO33" i="1"/>
  <c r="AP32" i="1"/>
  <c r="AR236" i="1" l="1"/>
  <c r="AO34" i="1"/>
  <c r="AP33" i="1"/>
  <c r="AR237" i="1" l="1"/>
  <c r="AO35" i="1"/>
  <c r="AP34" i="1"/>
  <c r="AR238" i="1" l="1"/>
  <c r="AO36" i="1"/>
  <c r="AP35" i="1"/>
  <c r="AR239" i="1" l="1"/>
  <c r="AO37" i="1"/>
  <c r="AP36" i="1"/>
  <c r="AR240" i="1" l="1"/>
  <c r="AO38" i="1"/>
  <c r="AP37" i="1"/>
  <c r="AR241" i="1" l="1"/>
  <c r="AO39" i="1"/>
  <c r="AP38" i="1"/>
  <c r="AR242" i="1" l="1"/>
  <c r="AO40" i="1"/>
  <c r="AP39" i="1"/>
  <c r="AR243" i="1" l="1"/>
  <c r="AO41" i="1"/>
  <c r="AP40" i="1"/>
  <c r="AR244" i="1" l="1"/>
  <c r="AO42" i="1"/>
  <c r="AP41" i="1"/>
  <c r="AR245" i="1" l="1"/>
  <c r="AO43" i="1"/>
  <c r="AP42" i="1"/>
  <c r="AR246" i="1" l="1"/>
  <c r="AO44" i="1"/>
  <c r="AP43" i="1"/>
  <c r="AR247" i="1" l="1"/>
  <c r="AO45" i="1"/>
  <c r="AP44" i="1"/>
  <c r="AR248" i="1" l="1"/>
  <c r="AO46" i="1"/>
  <c r="AP45" i="1"/>
  <c r="AR249" i="1" l="1"/>
  <c r="AO47" i="1"/>
  <c r="AP46" i="1"/>
  <c r="AR250" i="1" l="1"/>
  <c r="AO48" i="1"/>
  <c r="AP47" i="1"/>
  <c r="AR251" i="1" l="1"/>
  <c r="AO49" i="1"/>
  <c r="AP48" i="1"/>
  <c r="AR252" i="1" l="1"/>
  <c r="AO50" i="1"/>
  <c r="AP49" i="1"/>
  <c r="AR253" i="1" l="1"/>
  <c r="AO51" i="1"/>
  <c r="AP50" i="1"/>
  <c r="AR254" i="1" l="1"/>
  <c r="AO52" i="1"/>
  <c r="AP51" i="1"/>
  <c r="AR255" i="1" l="1"/>
  <c r="AO53" i="1"/>
  <c r="AP52" i="1"/>
  <c r="AR256" i="1" l="1"/>
  <c r="AO54" i="1"/>
  <c r="AP53" i="1"/>
  <c r="AR257" i="1" l="1"/>
  <c r="AO55" i="1"/>
  <c r="AP54" i="1"/>
  <c r="AR258" i="1" l="1"/>
  <c r="AO56" i="1"/>
  <c r="AP55" i="1"/>
  <c r="AR259" i="1" l="1"/>
  <c r="AO57" i="1"/>
  <c r="AP56" i="1"/>
  <c r="AR260" i="1" l="1"/>
  <c r="AO58" i="1"/>
  <c r="AP57" i="1"/>
  <c r="AR261" i="1" l="1"/>
  <c r="AO59" i="1"/>
  <c r="AP58" i="1"/>
  <c r="AR262" i="1" l="1"/>
  <c r="AO60" i="1"/>
  <c r="AP59" i="1"/>
  <c r="AR263" i="1" l="1"/>
  <c r="AO61" i="1"/>
  <c r="AP60" i="1"/>
  <c r="AR264" i="1" l="1"/>
  <c r="AO62" i="1"/>
  <c r="AP61" i="1"/>
  <c r="AR265" i="1" l="1"/>
  <c r="AO63" i="1"/>
  <c r="AP62" i="1"/>
  <c r="AR266" i="1" l="1"/>
  <c r="AO64" i="1"/>
  <c r="AP63" i="1"/>
  <c r="AR267" i="1" l="1"/>
  <c r="AO65" i="1"/>
  <c r="AP64" i="1"/>
  <c r="AR268" i="1" l="1"/>
  <c r="AO66" i="1"/>
  <c r="AP65" i="1"/>
  <c r="AR269" i="1" l="1"/>
  <c r="AO67" i="1"/>
  <c r="AP66" i="1"/>
  <c r="AR270" i="1" l="1"/>
  <c r="AO68" i="1"/>
  <c r="AP67" i="1"/>
  <c r="AR271" i="1" l="1"/>
  <c r="AO69" i="1"/>
  <c r="AP68" i="1"/>
  <c r="AR272" i="1" l="1"/>
  <c r="AO70" i="1"/>
  <c r="AP69" i="1"/>
  <c r="AR273" i="1" l="1"/>
  <c r="AO71" i="1"/>
  <c r="AP70" i="1"/>
  <c r="AR274" i="1" l="1"/>
  <c r="AO72" i="1"/>
  <c r="AP71" i="1"/>
  <c r="AR275" i="1" l="1"/>
  <c r="AO73" i="1"/>
  <c r="AP72" i="1"/>
  <c r="AR276" i="1" l="1"/>
  <c r="AO74" i="1"/>
  <c r="AP73" i="1"/>
  <c r="AR277" i="1" l="1"/>
  <c r="AO75" i="1"/>
  <c r="AP74" i="1"/>
  <c r="AR278" i="1" l="1"/>
  <c r="AO76" i="1"/>
  <c r="AP75" i="1"/>
  <c r="AR279" i="1" l="1"/>
  <c r="AO77" i="1"/>
  <c r="AP76" i="1"/>
  <c r="AR280" i="1" l="1"/>
  <c r="AO78" i="1"/>
  <c r="AP77" i="1"/>
  <c r="AR281" i="1" l="1"/>
  <c r="AO79" i="1"/>
  <c r="AP78" i="1"/>
  <c r="AR282" i="1" l="1"/>
  <c r="AO80" i="1"/>
  <c r="AP79" i="1"/>
  <c r="AR283" i="1" l="1"/>
  <c r="AO81" i="1"/>
  <c r="AP80" i="1"/>
  <c r="AR284" i="1" l="1"/>
  <c r="AO82" i="1"/>
  <c r="AP81" i="1"/>
  <c r="AR285" i="1" l="1"/>
  <c r="AO83" i="1"/>
  <c r="AP82" i="1"/>
  <c r="AR286" i="1" l="1"/>
  <c r="AO84" i="1"/>
  <c r="AP83" i="1"/>
  <c r="AR287" i="1" l="1"/>
  <c r="AO85" i="1"/>
  <c r="AP84" i="1"/>
  <c r="AR288" i="1" l="1"/>
  <c r="AO86" i="1"/>
  <c r="AP85" i="1"/>
  <c r="AR289" i="1" l="1"/>
  <c r="AO87" i="1"/>
  <c r="AP86" i="1"/>
  <c r="AR290" i="1" l="1"/>
  <c r="AO88" i="1"/>
  <c r="AP87" i="1"/>
  <c r="AR291" i="1" l="1"/>
  <c r="AO89" i="1"/>
  <c r="AP88" i="1"/>
  <c r="AR292" i="1" l="1"/>
  <c r="AO90" i="1"/>
  <c r="AP89" i="1"/>
  <c r="AR293" i="1" l="1"/>
  <c r="AO91" i="1"/>
  <c r="AP90" i="1"/>
  <c r="AR294" i="1" l="1"/>
  <c r="AO92" i="1"/>
  <c r="AP91" i="1"/>
  <c r="AR295" i="1" l="1"/>
  <c r="AO93" i="1"/>
  <c r="AP92" i="1"/>
  <c r="AR296" i="1" l="1"/>
  <c r="AO94" i="1"/>
  <c r="AP93" i="1"/>
  <c r="AR297" i="1" l="1"/>
  <c r="AO95" i="1"/>
  <c r="AP94" i="1"/>
  <c r="AR298" i="1" l="1"/>
  <c r="AO96" i="1"/>
  <c r="AP95" i="1"/>
  <c r="AR299" i="1" l="1"/>
  <c r="AO97" i="1"/>
  <c r="AP96" i="1"/>
  <c r="AR300" i="1" l="1"/>
  <c r="AO98" i="1"/>
  <c r="AP97" i="1"/>
  <c r="AR301" i="1" l="1"/>
  <c r="AO99" i="1"/>
  <c r="AP98" i="1"/>
  <c r="AR302" i="1" l="1"/>
  <c r="AO100" i="1"/>
  <c r="AP99" i="1"/>
  <c r="AR303" i="1" l="1"/>
  <c r="AO101" i="1"/>
  <c r="AP100" i="1"/>
  <c r="AR304" i="1" l="1"/>
  <c r="AO102" i="1"/>
  <c r="AP101" i="1"/>
  <c r="AR305" i="1" l="1"/>
  <c r="AO103" i="1"/>
  <c r="AP102" i="1"/>
  <c r="AR306" i="1" l="1"/>
  <c r="AO104" i="1"/>
  <c r="AP103" i="1"/>
  <c r="AR307" i="1" l="1"/>
  <c r="AO105" i="1"/>
  <c r="AP104" i="1"/>
  <c r="AR308" i="1" l="1"/>
  <c r="AO106" i="1"/>
  <c r="AP105" i="1"/>
  <c r="AR309" i="1" l="1"/>
  <c r="AO107" i="1"/>
  <c r="AP106" i="1"/>
  <c r="AR310" i="1" l="1"/>
  <c r="AO108" i="1"/>
  <c r="AP107" i="1"/>
  <c r="AR311" i="1" l="1"/>
  <c r="AO109" i="1"/>
  <c r="AP108" i="1"/>
  <c r="AR312" i="1" l="1"/>
  <c r="AO110" i="1"/>
  <c r="AP109" i="1"/>
  <c r="AR313" i="1" l="1"/>
  <c r="AO111" i="1"/>
  <c r="AP110" i="1"/>
  <c r="AR314" i="1" l="1"/>
  <c r="AO112" i="1"/>
  <c r="AP111" i="1"/>
  <c r="AR315" i="1" l="1"/>
  <c r="AO113" i="1"/>
  <c r="AP112" i="1"/>
  <c r="AR316" i="1" l="1"/>
  <c r="AO114" i="1"/>
  <c r="AP113" i="1"/>
  <c r="AR317" i="1" l="1"/>
  <c r="AO115" i="1"/>
  <c r="AP114" i="1"/>
  <c r="AR318" i="1" l="1"/>
  <c r="AO116" i="1"/>
  <c r="AP115" i="1"/>
  <c r="AR319" i="1" l="1"/>
  <c r="AO117" i="1"/>
  <c r="AP116" i="1"/>
  <c r="AR320" i="1" l="1"/>
  <c r="AO118" i="1"/>
  <c r="AP117" i="1"/>
  <c r="AR321" i="1" l="1"/>
  <c r="AO119" i="1"/>
  <c r="AP118" i="1"/>
  <c r="AR322" i="1" l="1"/>
  <c r="AO120" i="1"/>
  <c r="AP119" i="1"/>
  <c r="AR323" i="1" l="1"/>
  <c r="AO121" i="1"/>
  <c r="AP120" i="1"/>
  <c r="AR324" i="1" l="1"/>
  <c r="AO122" i="1"/>
  <c r="AP121" i="1"/>
  <c r="AR325" i="1" l="1"/>
  <c r="AO123" i="1"/>
  <c r="AP122" i="1"/>
  <c r="AR326" i="1" l="1"/>
  <c r="AO124" i="1"/>
  <c r="AP123" i="1"/>
  <c r="AR327" i="1" l="1"/>
  <c r="AO125" i="1"/>
  <c r="AP124" i="1"/>
  <c r="AR328" i="1" l="1"/>
  <c r="AO126" i="1"/>
  <c r="AP125" i="1"/>
  <c r="AR329" i="1" l="1"/>
  <c r="AO127" i="1"/>
  <c r="AP126" i="1"/>
  <c r="AR330" i="1" l="1"/>
  <c r="AO128" i="1"/>
  <c r="AP127" i="1"/>
  <c r="AR331" i="1" l="1"/>
  <c r="AO129" i="1"/>
  <c r="AP128" i="1"/>
  <c r="AR332" i="1" l="1"/>
  <c r="AO130" i="1"/>
  <c r="AP129" i="1"/>
  <c r="AR333" i="1" l="1"/>
  <c r="AO131" i="1"/>
  <c r="AP130" i="1"/>
  <c r="AR334" i="1" l="1"/>
  <c r="AO132" i="1"/>
  <c r="AP131" i="1"/>
  <c r="AR335" i="1" l="1"/>
  <c r="AO133" i="1"/>
  <c r="AP132" i="1"/>
  <c r="AR336" i="1" l="1"/>
  <c r="AO134" i="1"/>
  <c r="AP133" i="1"/>
  <c r="AR337" i="1" l="1"/>
  <c r="AO135" i="1"/>
  <c r="AP134" i="1"/>
  <c r="AR338" i="1" l="1"/>
  <c r="AO136" i="1"/>
  <c r="AP135" i="1"/>
  <c r="AR339" i="1" l="1"/>
  <c r="AO137" i="1"/>
  <c r="AP136" i="1"/>
  <c r="AR340" i="1" l="1"/>
  <c r="AO138" i="1"/>
  <c r="AP137" i="1"/>
  <c r="AR341" i="1" l="1"/>
  <c r="AO139" i="1"/>
  <c r="AP138" i="1"/>
  <c r="AR342" i="1" l="1"/>
  <c r="AO140" i="1"/>
  <c r="AP139" i="1"/>
  <c r="AR343" i="1" l="1"/>
  <c r="AO141" i="1"/>
  <c r="AP140" i="1"/>
  <c r="AR344" i="1" l="1"/>
  <c r="AO142" i="1"/>
  <c r="AP141" i="1"/>
  <c r="AR345" i="1" l="1"/>
  <c r="AO143" i="1"/>
  <c r="AP142" i="1"/>
  <c r="AR346" i="1" l="1"/>
  <c r="AO144" i="1"/>
  <c r="AP143" i="1"/>
  <c r="AR347" i="1" l="1"/>
  <c r="AO145" i="1"/>
  <c r="AP144" i="1"/>
  <c r="AR348" i="1" l="1"/>
  <c r="AO146" i="1"/>
  <c r="AP145" i="1"/>
  <c r="AR349" i="1" l="1"/>
  <c r="AO147" i="1"/>
  <c r="AP146" i="1"/>
  <c r="AR350" i="1" l="1"/>
  <c r="AO148" i="1"/>
  <c r="AP147" i="1"/>
  <c r="AR351" i="1" l="1"/>
  <c r="AO149" i="1"/>
  <c r="AP148" i="1"/>
  <c r="AR352" i="1" l="1"/>
  <c r="AO150" i="1"/>
  <c r="AP149" i="1"/>
  <c r="AR353" i="1" l="1"/>
  <c r="AO151" i="1"/>
  <c r="AP150" i="1"/>
  <c r="AR354" i="1" l="1"/>
  <c r="AO152" i="1"/>
  <c r="AP151" i="1"/>
  <c r="AR355" i="1" l="1"/>
  <c r="AO153" i="1"/>
  <c r="AP152" i="1"/>
  <c r="AR356" i="1" l="1"/>
  <c r="AO154" i="1"/>
  <c r="AP153" i="1"/>
  <c r="AR357" i="1" l="1"/>
  <c r="AO155" i="1"/>
  <c r="AP154" i="1"/>
  <c r="AR358" i="1" l="1"/>
  <c r="AO156" i="1"/>
  <c r="AP155" i="1"/>
  <c r="AR359" i="1" l="1"/>
  <c r="AO157" i="1"/>
  <c r="AP156" i="1"/>
  <c r="AR360" i="1" l="1"/>
  <c r="AO158" i="1"/>
  <c r="AP157" i="1"/>
  <c r="AR361" i="1" l="1"/>
  <c r="AO159" i="1"/>
  <c r="AP158" i="1"/>
  <c r="AR362" i="1" l="1"/>
  <c r="AO160" i="1"/>
  <c r="AP159" i="1"/>
  <c r="AR363" i="1" l="1"/>
  <c r="AO161" i="1"/>
  <c r="AP160" i="1"/>
  <c r="AR364" i="1" l="1"/>
  <c r="AO162" i="1"/>
  <c r="AP161" i="1"/>
  <c r="AR365" i="1" l="1"/>
  <c r="AO163" i="1"/>
  <c r="AP162" i="1"/>
  <c r="AR366" i="1" l="1"/>
  <c r="AO164" i="1"/>
  <c r="AP163" i="1"/>
  <c r="AR367" i="1" l="1"/>
  <c r="AO165" i="1"/>
  <c r="AP164" i="1"/>
  <c r="AR368" i="1" l="1"/>
  <c r="AO166" i="1"/>
  <c r="AP165" i="1"/>
  <c r="AR369" i="1" l="1"/>
  <c r="AO167" i="1"/>
  <c r="AP166" i="1"/>
  <c r="AR370" i="1" l="1"/>
  <c r="AO168" i="1"/>
  <c r="AP167" i="1"/>
  <c r="AR371" i="1" l="1"/>
  <c r="AO169" i="1"/>
  <c r="AP168" i="1"/>
  <c r="AR372" i="1" l="1"/>
  <c r="AO170" i="1"/>
  <c r="AP169" i="1"/>
  <c r="AR373" i="1" l="1"/>
  <c r="AO171" i="1"/>
  <c r="AP170" i="1"/>
  <c r="AR374" i="1" l="1"/>
  <c r="AO172" i="1"/>
  <c r="AP171" i="1"/>
  <c r="AR375" i="1" l="1"/>
  <c r="AO173" i="1"/>
  <c r="AP172" i="1"/>
  <c r="AR376" i="1" l="1"/>
  <c r="AO174" i="1"/>
  <c r="AP173" i="1"/>
  <c r="AR377" i="1" l="1"/>
  <c r="AO175" i="1"/>
  <c r="AP174" i="1"/>
  <c r="AR378" i="1" l="1"/>
  <c r="AO176" i="1"/>
  <c r="AP175" i="1"/>
  <c r="AR379" i="1" l="1"/>
  <c r="AO177" i="1"/>
  <c r="AP176" i="1"/>
  <c r="AR380" i="1" l="1"/>
  <c r="AO178" i="1"/>
  <c r="AP177" i="1"/>
  <c r="AR381" i="1" l="1"/>
  <c r="AO179" i="1"/>
  <c r="AP178" i="1"/>
  <c r="AR382" i="1" l="1"/>
  <c r="AO180" i="1"/>
  <c r="AP179" i="1"/>
  <c r="AR383" i="1" l="1"/>
  <c r="AO181" i="1"/>
  <c r="AP180" i="1"/>
  <c r="AR384" i="1" l="1"/>
  <c r="AO182" i="1"/>
  <c r="AP181" i="1"/>
  <c r="AR385" i="1" l="1"/>
  <c r="AO183" i="1"/>
  <c r="AP182" i="1"/>
  <c r="AR386" i="1" l="1"/>
  <c r="AO184" i="1"/>
  <c r="AP183" i="1"/>
  <c r="AR387" i="1" l="1"/>
  <c r="AO185" i="1"/>
  <c r="AP184" i="1"/>
  <c r="AR388" i="1" l="1"/>
  <c r="AO186" i="1"/>
  <c r="AP185" i="1"/>
  <c r="AR389" i="1" l="1"/>
  <c r="AO187" i="1"/>
  <c r="AP186" i="1"/>
  <c r="AR390" i="1" l="1"/>
  <c r="AO188" i="1"/>
  <c r="AP187" i="1"/>
  <c r="AR391" i="1" l="1"/>
  <c r="AO189" i="1"/>
  <c r="AP188" i="1"/>
  <c r="AR392" i="1" l="1"/>
  <c r="AO190" i="1"/>
  <c r="AP189" i="1"/>
  <c r="AR393" i="1" l="1"/>
  <c r="AO191" i="1"/>
  <c r="AP190" i="1"/>
  <c r="AR394" i="1" l="1"/>
  <c r="AO192" i="1"/>
  <c r="AP191" i="1"/>
  <c r="AR395" i="1" l="1"/>
  <c r="AO193" i="1"/>
  <c r="AP192" i="1"/>
  <c r="AR396" i="1" l="1"/>
  <c r="AO194" i="1"/>
  <c r="AP193" i="1"/>
  <c r="AR397" i="1" l="1"/>
  <c r="AO195" i="1"/>
  <c r="AP194" i="1"/>
  <c r="AR398" i="1" l="1"/>
  <c r="AO196" i="1"/>
  <c r="AP195" i="1"/>
  <c r="AR399" i="1" l="1"/>
  <c r="AO197" i="1"/>
  <c r="AP196" i="1"/>
  <c r="AR400" i="1" l="1"/>
  <c r="AO198" i="1"/>
  <c r="AP197" i="1"/>
  <c r="AR401" i="1" l="1"/>
  <c r="AO199" i="1"/>
  <c r="AP198" i="1"/>
  <c r="AR402" i="1" l="1"/>
  <c r="AO200" i="1"/>
  <c r="AP199" i="1"/>
  <c r="AR403" i="1" l="1"/>
  <c r="AO201" i="1"/>
  <c r="AP200" i="1"/>
  <c r="AP201" i="1" l="1"/>
  <c r="AO202" i="1"/>
  <c r="AR404" i="1"/>
  <c r="AO203" i="1" l="1"/>
  <c r="AP202" i="1"/>
  <c r="AR405" i="1"/>
  <c r="AO204" i="1" l="1"/>
  <c r="AP203" i="1"/>
  <c r="AR406" i="1"/>
  <c r="AO205" i="1" l="1"/>
  <c r="AP204" i="1"/>
  <c r="AR407" i="1"/>
  <c r="AO206" i="1" l="1"/>
  <c r="AP205" i="1"/>
  <c r="AR408" i="1"/>
  <c r="AO207" i="1" l="1"/>
  <c r="AP206" i="1"/>
  <c r="AR409" i="1"/>
  <c r="AO208" i="1" l="1"/>
  <c r="AP207" i="1"/>
  <c r="AR410" i="1"/>
  <c r="AO209" i="1" l="1"/>
  <c r="AP208" i="1"/>
  <c r="AR411" i="1"/>
  <c r="AO210" i="1" l="1"/>
  <c r="AP209" i="1"/>
  <c r="AR412" i="1"/>
  <c r="AO211" i="1" l="1"/>
  <c r="AP210" i="1"/>
  <c r="AR413" i="1"/>
  <c r="AO212" i="1" l="1"/>
  <c r="AP211" i="1"/>
  <c r="AR414" i="1"/>
  <c r="AO213" i="1" l="1"/>
  <c r="AP212" i="1"/>
  <c r="AR415" i="1"/>
  <c r="AO214" i="1" l="1"/>
  <c r="AP213" i="1"/>
  <c r="AR416" i="1"/>
  <c r="AO215" i="1" l="1"/>
  <c r="AP214" i="1"/>
  <c r="AR417" i="1"/>
  <c r="AO216" i="1" l="1"/>
  <c r="AP215" i="1"/>
  <c r="AR418" i="1"/>
  <c r="AO217" i="1" l="1"/>
  <c r="AP216" i="1"/>
  <c r="AR419" i="1"/>
  <c r="AO218" i="1" l="1"/>
  <c r="AP217" i="1"/>
  <c r="AR420" i="1"/>
  <c r="AO219" i="1" l="1"/>
  <c r="AP218" i="1"/>
  <c r="AR421" i="1"/>
  <c r="AO220" i="1" l="1"/>
  <c r="AP219" i="1"/>
  <c r="AR422" i="1"/>
  <c r="AO221" i="1" l="1"/>
  <c r="AP220" i="1"/>
  <c r="AR423" i="1"/>
  <c r="AO222" i="1" l="1"/>
  <c r="AP221" i="1"/>
  <c r="AR424" i="1"/>
  <c r="AO223" i="1" l="1"/>
  <c r="AP222" i="1"/>
  <c r="AR425" i="1"/>
  <c r="AO224" i="1" l="1"/>
  <c r="AP223" i="1"/>
  <c r="AR426" i="1"/>
  <c r="AO225" i="1" l="1"/>
  <c r="AP224" i="1"/>
  <c r="AR427" i="1"/>
  <c r="AO226" i="1" l="1"/>
  <c r="AP225" i="1"/>
  <c r="AR428" i="1"/>
  <c r="AO227" i="1" l="1"/>
  <c r="AP226" i="1"/>
  <c r="AR429" i="1"/>
  <c r="AO228" i="1" l="1"/>
  <c r="AP227" i="1"/>
  <c r="AR430" i="1"/>
  <c r="AO229" i="1" l="1"/>
  <c r="AP228" i="1"/>
  <c r="AR431" i="1"/>
  <c r="AO230" i="1" l="1"/>
  <c r="AP229" i="1"/>
  <c r="AR432" i="1"/>
  <c r="AO231" i="1" l="1"/>
  <c r="AP230" i="1"/>
  <c r="AR433" i="1"/>
  <c r="AO232" i="1" l="1"/>
  <c r="AP231" i="1"/>
  <c r="AR434" i="1"/>
  <c r="AO233" i="1" l="1"/>
  <c r="AP232" i="1"/>
  <c r="AR435" i="1"/>
  <c r="AO234" i="1" l="1"/>
  <c r="AP233" i="1"/>
  <c r="AR436" i="1"/>
  <c r="AO235" i="1" l="1"/>
  <c r="AP234" i="1"/>
  <c r="AR437" i="1"/>
  <c r="AO236" i="1" l="1"/>
  <c r="AP235" i="1"/>
  <c r="AR438" i="1"/>
  <c r="AO237" i="1" l="1"/>
  <c r="AP236" i="1"/>
  <c r="AR439" i="1"/>
  <c r="AO238" i="1" l="1"/>
  <c r="AP237" i="1"/>
  <c r="AR440" i="1"/>
  <c r="AO239" i="1" l="1"/>
  <c r="AP238" i="1"/>
  <c r="AR441" i="1"/>
  <c r="AO240" i="1" l="1"/>
  <c r="AP239" i="1"/>
  <c r="AR442" i="1"/>
  <c r="AO241" i="1" l="1"/>
  <c r="AP240" i="1"/>
  <c r="AR443" i="1"/>
  <c r="AO242" i="1" l="1"/>
  <c r="AP241" i="1"/>
  <c r="AR444" i="1"/>
  <c r="AO243" i="1" l="1"/>
  <c r="AP242" i="1"/>
  <c r="AR445" i="1"/>
  <c r="AO244" i="1" l="1"/>
  <c r="AP243" i="1"/>
  <c r="AR446" i="1"/>
  <c r="AO245" i="1" l="1"/>
  <c r="AP244" i="1"/>
  <c r="AR447" i="1"/>
  <c r="AO246" i="1" l="1"/>
  <c r="AP245" i="1"/>
  <c r="AR448" i="1"/>
  <c r="AO247" i="1" l="1"/>
  <c r="AP246" i="1"/>
  <c r="AR449" i="1"/>
  <c r="AO248" i="1" l="1"/>
  <c r="AP247" i="1"/>
  <c r="AR450" i="1"/>
  <c r="AO249" i="1" l="1"/>
  <c r="AP248" i="1"/>
  <c r="AR451" i="1"/>
  <c r="AO250" i="1" l="1"/>
  <c r="AP249" i="1"/>
  <c r="AR452" i="1"/>
  <c r="AO251" i="1" l="1"/>
  <c r="AP250" i="1"/>
  <c r="AR453" i="1"/>
  <c r="AO252" i="1" l="1"/>
  <c r="AP251" i="1"/>
  <c r="AR454" i="1"/>
  <c r="AO253" i="1" l="1"/>
  <c r="AP252" i="1"/>
  <c r="AR455" i="1"/>
  <c r="AO254" i="1" l="1"/>
  <c r="AP253" i="1"/>
  <c r="AR456" i="1"/>
  <c r="AO255" i="1" l="1"/>
  <c r="AP254" i="1"/>
  <c r="AR457" i="1"/>
  <c r="AO256" i="1" l="1"/>
  <c r="AP255" i="1"/>
  <c r="AR458" i="1"/>
  <c r="AO257" i="1" l="1"/>
  <c r="AP256" i="1"/>
  <c r="AR459" i="1"/>
  <c r="AO258" i="1" l="1"/>
  <c r="AP257" i="1"/>
  <c r="AR460" i="1"/>
  <c r="AO259" i="1" l="1"/>
  <c r="AP258" i="1"/>
  <c r="AR461" i="1"/>
  <c r="AO260" i="1" l="1"/>
  <c r="AP259" i="1"/>
  <c r="AR462" i="1"/>
  <c r="AO261" i="1" l="1"/>
  <c r="AP260" i="1"/>
  <c r="AR463" i="1"/>
  <c r="AO262" i="1" l="1"/>
  <c r="AP261" i="1"/>
  <c r="AR464" i="1"/>
  <c r="AO263" i="1" l="1"/>
  <c r="AP262" i="1"/>
  <c r="AR465" i="1"/>
  <c r="AO264" i="1" l="1"/>
  <c r="AP263" i="1"/>
  <c r="AR466" i="1"/>
  <c r="AO265" i="1" l="1"/>
  <c r="AP264" i="1"/>
  <c r="AR467" i="1"/>
  <c r="AO266" i="1" l="1"/>
  <c r="AP265" i="1"/>
  <c r="AR468" i="1"/>
  <c r="AO267" i="1" l="1"/>
  <c r="AP266" i="1"/>
  <c r="AR469" i="1"/>
  <c r="AO268" i="1" l="1"/>
  <c r="AP267" i="1"/>
  <c r="AR470" i="1"/>
  <c r="AO269" i="1" l="1"/>
  <c r="AP268" i="1"/>
  <c r="AR471" i="1"/>
  <c r="AO270" i="1" l="1"/>
  <c r="AP269" i="1"/>
  <c r="AR472" i="1"/>
  <c r="AO271" i="1" l="1"/>
  <c r="AP270" i="1"/>
  <c r="AR473" i="1"/>
  <c r="AO272" i="1" l="1"/>
  <c r="AP271" i="1"/>
  <c r="AR474" i="1"/>
  <c r="AO273" i="1" l="1"/>
  <c r="AP272" i="1"/>
  <c r="AR475" i="1"/>
  <c r="AO274" i="1" l="1"/>
  <c r="AP273" i="1"/>
  <c r="AR476" i="1"/>
  <c r="AO275" i="1" l="1"/>
  <c r="AP274" i="1"/>
  <c r="AR477" i="1"/>
  <c r="AO276" i="1" l="1"/>
  <c r="AP275" i="1"/>
  <c r="AR478" i="1"/>
  <c r="AO277" i="1" l="1"/>
  <c r="AP276" i="1"/>
  <c r="AR479" i="1"/>
  <c r="AO278" i="1" l="1"/>
  <c r="AP277" i="1"/>
  <c r="AR480" i="1"/>
  <c r="AO279" i="1" l="1"/>
  <c r="AP278" i="1"/>
  <c r="AR481" i="1"/>
  <c r="AO280" i="1" l="1"/>
  <c r="AP279" i="1"/>
  <c r="AR482" i="1"/>
  <c r="AO281" i="1" l="1"/>
  <c r="AP280" i="1"/>
  <c r="AR483" i="1"/>
  <c r="AO282" i="1" l="1"/>
  <c r="AP281" i="1"/>
  <c r="AR484" i="1"/>
  <c r="AO283" i="1" l="1"/>
  <c r="AP282" i="1"/>
  <c r="AR485" i="1"/>
  <c r="AO284" i="1" l="1"/>
  <c r="AP283" i="1"/>
  <c r="AR486" i="1"/>
  <c r="AO285" i="1" l="1"/>
  <c r="AP284" i="1"/>
  <c r="AR487" i="1"/>
  <c r="AO286" i="1" l="1"/>
  <c r="AP285" i="1"/>
  <c r="AR488" i="1"/>
  <c r="AO287" i="1" l="1"/>
  <c r="AP286" i="1"/>
  <c r="AR489" i="1"/>
  <c r="AO288" i="1" l="1"/>
  <c r="AP287" i="1"/>
  <c r="AR490" i="1"/>
  <c r="AO289" i="1" l="1"/>
  <c r="AP288" i="1"/>
  <c r="AR491" i="1"/>
  <c r="AO290" i="1" l="1"/>
  <c r="AP289" i="1"/>
  <c r="AR492" i="1"/>
  <c r="AO291" i="1" l="1"/>
  <c r="AP290" i="1"/>
  <c r="AR493" i="1"/>
  <c r="AO292" i="1" l="1"/>
  <c r="AP291" i="1"/>
  <c r="AR494" i="1"/>
  <c r="AO293" i="1" l="1"/>
  <c r="AP292" i="1"/>
  <c r="AR495" i="1"/>
  <c r="AO294" i="1" l="1"/>
  <c r="AP293" i="1"/>
  <c r="AR496" i="1"/>
  <c r="AO295" i="1" l="1"/>
  <c r="AP294" i="1"/>
  <c r="AR497" i="1"/>
  <c r="AO296" i="1" l="1"/>
  <c r="AP295" i="1"/>
  <c r="AR498" i="1"/>
  <c r="AO297" i="1" l="1"/>
  <c r="AP296" i="1"/>
  <c r="AR499" i="1"/>
  <c r="AO298" i="1" l="1"/>
  <c r="AP297" i="1"/>
  <c r="AR500" i="1"/>
  <c r="AO299" i="1" l="1"/>
  <c r="AP298" i="1"/>
  <c r="AO300" i="1" l="1"/>
  <c r="AP299" i="1"/>
  <c r="AO301" i="1" l="1"/>
  <c r="AP300" i="1"/>
  <c r="AO302" i="1" l="1"/>
  <c r="AP301" i="1"/>
  <c r="AO303" i="1" l="1"/>
  <c r="AP302" i="1"/>
  <c r="AO304" i="1" l="1"/>
  <c r="AP303" i="1"/>
  <c r="AO305" i="1" l="1"/>
  <c r="AP304" i="1"/>
  <c r="AO306" i="1" l="1"/>
  <c r="AP305" i="1"/>
  <c r="AO307" i="1" l="1"/>
  <c r="AP306" i="1"/>
  <c r="AO308" i="1" l="1"/>
  <c r="AP307" i="1"/>
  <c r="AO309" i="1" l="1"/>
  <c r="AP308" i="1"/>
  <c r="AO310" i="1" l="1"/>
  <c r="AP309" i="1"/>
  <c r="AO311" i="1" l="1"/>
  <c r="AP310" i="1"/>
  <c r="AO312" i="1" l="1"/>
  <c r="AP311" i="1"/>
  <c r="AO313" i="1" l="1"/>
  <c r="AP312" i="1"/>
  <c r="AO314" i="1" l="1"/>
  <c r="AP313" i="1"/>
  <c r="AO315" i="1" l="1"/>
  <c r="AP314" i="1"/>
  <c r="AO316" i="1" l="1"/>
  <c r="AP315" i="1"/>
  <c r="AO317" i="1" l="1"/>
  <c r="AP316" i="1"/>
  <c r="AO318" i="1" l="1"/>
  <c r="AP317" i="1"/>
  <c r="AO319" i="1" l="1"/>
  <c r="AP318" i="1"/>
  <c r="AO320" i="1" l="1"/>
  <c r="AP319" i="1"/>
  <c r="AO321" i="1" l="1"/>
  <c r="AP320" i="1"/>
  <c r="AO322" i="1" l="1"/>
  <c r="AP321" i="1"/>
  <c r="AO323" i="1" l="1"/>
  <c r="AP322" i="1"/>
  <c r="AO324" i="1" l="1"/>
  <c r="AP323" i="1"/>
  <c r="AO325" i="1" l="1"/>
  <c r="AP324" i="1"/>
  <c r="AO326" i="1" l="1"/>
  <c r="AP325" i="1"/>
  <c r="AO327" i="1" l="1"/>
  <c r="AP326" i="1"/>
  <c r="AO328" i="1" l="1"/>
  <c r="AP327" i="1"/>
  <c r="AO329" i="1" l="1"/>
  <c r="AP328" i="1"/>
  <c r="AO330" i="1" l="1"/>
  <c r="AP329" i="1"/>
  <c r="AO331" i="1" l="1"/>
  <c r="AP330" i="1"/>
  <c r="AO332" i="1" l="1"/>
  <c r="AP331" i="1"/>
  <c r="AO333" i="1" l="1"/>
  <c r="AP332" i="1"/>
  <c r="AO334" i="1" l="1"/>
  <c r="AP333" i="1"/>
  <c r="AO335" i="1" l="1"/>
  <c r="AP334" i="1"/>
  <c r="AO336" i="1" l="1"/>
  <c r="AP335" i="1"/>
  <c r="AO337" i="1" l="1"/>
  <c r="AP336" i="1"/>
  <c r="AO338" i="1" l="1"/>
  <c r="AP337" i="1"/>
  <c r="AO339" i="1" l="1"/>
  <c r="AP338" i="1"/>
  <c r="AO340" i="1" l="1"/>
  <c r="AP339" i="1"/>
  <c r="AO341" i="1" l="1"/>
  <c r="AP340" i="1"/>
  <c r="AO342" i="1" l="1"/>
  <c r="AP341" i="1"/>
  <c r="AO343" i="1" l="1"/>
  <c r="AP342" i="1"/>
  <c r="AO344" i="1" l="1"/>
  <c r="AP343" i="1"/>
  <c r="AO345" i="1" l="1"/>
  <c r="AP344" i="1"/>
  <c r="AO346" i="1" l="1"/>
  <c r="AP345" i="1"/>
  <c r="AO347" i="1" l="1"/>
  <c r="AP346" i="1"/>
  <c r="AO348" i="1" l="1"/>
  <c r="AP347" i="1"/>
  <c r="AO349" i="1" l="1"/>
  <c r="AP348" i="1"/>
  <c r="AO350" i="1" l="1"/>
  <c r="AP349" i="1"/>
  <c r="AO351" i="1" l="1"/>
  <c r="AP350" i="1"/>
  <c r="AO352" i="1" l="1"/>
  <c r="AP351" i="1"/>
  <c r="AO353" i="1" l="1"/>
  <c r="AP352" i="1"/>
  <c r="AO354" i="1" l="1"/>
  <c r="AP353" i="1"/>
  <c r="AO355" i="1" l="1"/>
  <c r="AP354" i="1"/>
  <c r="AO356" i="1" l="1"/>
  <c r="AP355" i="1"/>
  <c r="AO357" i="1" l="1"/>
  <c r="AP356" i="1"/>
  <c r="AO358" i="1" l="1"/>
  <c r="AP357" i="1"/>
  <c r="AO359" i="1" l="1"/>
  <c r="AP358" i="1"/>
  <c r="AO360" i="1" l="1"/>
  <c r="AP359" i="1"/>
  <c r="AO361" i="1" l="1"/>
  <c r="AP360" i="1"/>
  <c r="AO362" i="1" l="1"/>
  <c r="AP361" i="1"/>
  <c r="AO363" i="1" l="1"/>
  <c r="AP362" i="1"/>
  <c r="AO364" i="1" l="1"/>
  <c r="AP363" i="1"/>
  <c r="AO365" i="1" l="1"/>
  <c r="AP364" i="1"/>
  <c r="AO366" i="1" l="1"/>
  <c r="AP365" i="1"/>
  <c r="AO367" i="1" l="1"/>
  <c r="AP366" i="1"/>
  <c r="AO368" i="1" l="1"/>
  <c r="AP367" i="1"/>
  <c r="AO369" i="1" l="1"/>
  <c r="AP368" i="1"/>
  <c r="AO370" i="1" l="1"/>
  <c r="AP369" i="1"/>
  <c r="AO371" i="1" l="1"/>
  <c r="AP370" i="1"/>
  <c r="AO372" i="1" l="1"/>
  <c r="AP371" i="1"/>
  <c r="AO373" i="1" l="1"/>
  <c r="AP372" i="1"/>
  <c r="AO374" i="1" l="1"/>
  <c r="AP373" i="1"/>
  <c r="AO375" i="1" l="1"/>
  <c r="AP374" i="1"/>
  <c r="AO376" i="1" l="1"/>
  <c r="AP375" i="1"/>
  <c r="AO377" i="1" l="1"/>
  <c r="AP376" i="1"/>
  <c r="AO378" i="1" l="1"/>
  <c r="AP377" i="1"/>
  <c r="AO379" i="1" l="1"/>
  <c r="AP378" i="1"/>
  <c r="AO380" i="1" l="1"/>
  <c r="AP379" i="1"/>
  <c r="AO381" i="1" l="1"/>
  <c r="AP380" i="1"/>
  <c r="AO382" i="1" l="1"/>
  <c r="AP381" i="1"/>
  <c r="AO383" i="1" l="1"/>
  <c r="AP382" i="1"/>
  <c r="AO384" i="1" l="1"/>
  <c r="AP383" i="1"/>
  <c r="AO385" i="1" l="1"/>
  <c r="AP384" i="1"/>
  <c r="AO386" i="1" l="1"/>
  <c r="AP385" i="1"/>
  <c r="AO387" i="1" l="1"/>
  <c r="AP386" i="1"/>
  <c r="AO388" i="1" l="1"/>
  <c r="AP387" i="1"/>
  <c r="AO389" i="1" l="1"/>
  <c r="AP388" i="1"/>
  <c r="AO390" i="1" l="1"/>
  <c r="AP389" i="1"/>
  <c r="AO391" i="1" l="1"/>
  <c r="AP390" i="1"/>
  <c r="AO392" i="1" l="1"/>
  <c r="AP391" i="1"/>
  <c r="AO393" i="1" l="1"/>
  <c r="AP392" i="1"/>
  <c r="AO394" i="1" l="1"/>
  <c r="AP393" i="1"/>
  <c r="AO395" i="1" l="1"/>
  <c r="AP394" i="1"/>
  <c r="AO396" i="1" l="1"/>
  <c r="AP395" i="1"/>
  <c r="AO397" i="1" l="1"/>
  <c r="AP396" i="1"/>
  <c r="AO398" i="1" l="1"/>
  <c r="AP397" i="1"/>
  <c r="AO399" i="1" l="1"/>
  <c r="AP398" i="1"/>
  <c r="AO400" i="1" l="1"/>
  <c r="AP399" i="1"/>
  <c r="AO401" i="1" l="1"/>
  <c r="AP400" i="1"/>
  <c r="AO402" i="1" l="1"/>
  <c r="AP401" i="1"/>
  <c r="AO403" i="1" l="1"/>
  <c r="AP402" i="1"/>
  <c r="AO404" i="1" l="1"/>
  <c r="AP403" i="1"/>
  <c r="AO405" i="1" l="1"/>
  <c r="AP404" i="1"/>
  <c r="AO406" i="1" l="1"/>
  <c r="AP405" i="1"/>
  <c r="AO407" i="1" l="1"/>
  <c r="AP406" i="1"/>
  <c r="AO408" i="1" l="1"/>
  <c r="AP407" i="1"/>
  <c r="AO409" i="1" l="1"/>
  <c r="AP408" i="1"/>
  <c r="AO410" i="1" l="1"/>
  <c r="AP409" i="1"/>
  <c r="AO411" i="1" l="1"/>
  <c r="AP410" i="1"/>
  <c r="AO412" i="1" l="1"/>
  <c r="AP411" i="1"/>
  <c r="AO413" i="1" l="1"/>
  <c r="AP412" i="1"/>
  <c r="AO414" i="1" l="1"/>
  <c r="AP413" i="1"/>
  <c r="AO415" i="1" l="1"/>
  <c r="AP414" i="1"/>
  <c r="AO416" i="1" l="1"/>
  <c r="AP415" i="1"/>
  <c r="AO417" i="1" l="1"/>
  <c r="AP416" i="1"/>
  <c r="AO418" i="1" l="1"/>
  <c r="AP417" i="1"/>
  <c r="AO419" i="1" l="1"/>
  <c r="AP418" i="1"/>
  <c r="AO420" i="1" l="1"/>
  <c r="AP419" i="1"/>
  <c r="AO421" i="1" l="1"/>
  <c r="AP420" i="1"/>
  <c r="AO422" i="1" l="1"/>
  <c r="AP421" i="1"/>
  <c r="AO423" i="1" l="1"/>
  <c r="AP422" i="1"/>
  <c r="AO424" i="1" l="1"/>
  <c r="AP423" i="1"/>
  <c r="AO425" i="1" l="1"/>
  <c r="AP424" i="1"/>
  <c r="AO426" i="1" l="1"/>
  <c r="AP425" i="1"/>
  <c r="AO427" i="1" l="1"/>
  <c r="AP426" i="1"/>
  <c r="AO428" i="1" l="1"/>
  <c r="AP427" i="1"/>
  <c r="AO429" i="1" l="1"/>
  <c r="AP428" i="1"/>
  <c r="AO430" i="1" l="1"/>
  <c r="AP429" i="1"/>
  <c r="AO431" i="1" l="1"/>
  <c r="AP430" i="1"/>
  <c r="AO432" i="1" l="1"/>
  <c r="AP431" i="1"/>
  <c r="AO433" i="1" l="1"/>
  <c r="AP432" i="1"/>
  <c r="AO434" i="1" l="1"/>
  <c r="AP433" i="1"/>
  <c r="AO435" i="1" l="1"/>
  <c r="AP434" i="1"/>
  <c r="AO436" i="1" l="1"/>
  <c r="AP435" i="1"/>
  <c r="AO437" i="1" l="1"/>
  <c r="AP436" i="1"/>
  <c r="AO438" i="1" l="1"/>
  <c r="AP437" i="1"/>
  <c r="AO439" i="1" l="1"/>
  <c r="AP438" i="1"/>
  <c r="AO440" i="1" l="1"/>
  <c r="AP439" i="1"/>
  <c r="AO441" i="1" l="1"/>
  <c r="AP440" i="1"/>
  <c r="AO442" i="1" l="1"/>
  <c r="AP441" i="1"/>
  <c r="AO443" i="1" l="1"/>
  <c r="AP442" i="1"/>
  <c r="AO444" i="1" l="1"/>
  <c r="AP443" i="1"/>
  <c r="AO445" i="1" l="1"/>
  <c r="AP444" i="1"/>
  <c r="AO446" i="1" l="1"/>
  <c r="AP445" i="1"/>
  <c r="AO447" i="1" l="1"/>
  <c r="AP446" i="1"/>
  <c r="AO448" i="1" l="1"/>
  <c r="AP447" i="1"/>
  <c r="AO449" i="1" l="1"/>
  <c r="AP448" i="1"/>
  <c r="AO450" i="1" l="1"/>
  <c r="AP449" i="1"/>
  <c r="AO451" i="1" l="1"/>
  <c r="AP450" i="1"/>
  <c r="AO452" i="1" l="1"/>
  <c r="AP451" i="1"/>
  <c r="AO453" i="1" l="1"/>
  <c r="AP452" i="1"/>
  <c r="AO454" i="1" l="1"/>
  <c r="AP453" i="1"/>
  <c r="AO455" i="1" l="1"/>
  <c r="AP454" i="1"/>
  <c r="AO456" i="1" l="1"/>
  <c r="AP455" i="1"/>
  <c r="AO457" i="1" l="1"/>
  <c r="AP456" i="1"/>
  <c r="AO458" i="1" l="1"/>
  <c r="AP457" i="1"/>
  <c r="AO459" i="1" l="1"/>
  <c r="AP458" i="1"/>
  <c r="AO460" i="1" l="1"/>
  <c r="AP459" i="1"/>
  <c r="AO461" i="1" l="1"/>
  <c r="AP460" i="1"/>
  <c r="AO462" i="1" l="1"/>
  <c r="AP461" i="1"/>
  <c r="AO463" i="1" l="1"/>
  <c r="AP462" i="1"/>
  <c r="AO464" i="1" l="1"/>
  <c r="AP463" i="1"/>
  <c r="AO465" i="1" l="1"/>
  <c r="AP464" i="1"/>
  <c r="AO466" i="1" l="1"/>
  <c r="AP465" i="1"/>
  <c r="AO467" i="1" l="1"/>
  <c r="AP466" i="1"/>
  <c r="AO468" i="1" l="1"/>
  <c r="AP467" i="1"/>
  <c r="AO469" i="1" l="1"/>
  <c r="AP468" i="1"/>
  <c r="AO470" i="1" l="1"/>
  <c r="AP469" i="1"/>
  <c r="AO471" i="1" l="1"/>
  <c r="AP470" i="1"/>
  <c r="AO472" i="1" l="1"/>
  <c r="AP471" i="1"/>
  <c r="AO473" i="1" l="1"/>
  <c r="AP472" i="1"/>
  <c r="AO474" i="1" l="1"/>
  <c r="AP473" i="1"/>
  <c r="AO475" i="1" l="1"/>
  <c r="AP474" i="1"/>
  <c r="AO476" i="1" l="1"/>
  <c r="AP475" i="1"/>
  <c r="AO477" i="1" l="1"/>
  <c r="AP476" i="1"/>
  <c r="AO478" i="1" l="1"/>
  <c r="AP477" i="1"/>
  <c r="AO479" i="1" l="1"/>
  <c r="AP478" i="1"/>
  <c r="AO480" i="1" l="1"/>
  <c r="AP479" i="1"/>
  <c r="AO481" i="1" l="1"/>
  <c r="AP480" i="1"/>
  <c r="AO482" i="1" l="1"/>
  <c r="AP481" i="1"/>
  <c r="AO483" i="1" l="1"/>
  <c r="AP482" i="1"/>
  <c r="AO484" i="1" l="1"/>
  <c r="AP483" i="1"/>
  <c r="AO485" i="1" l="1"/>
  <c r="AP484" i="1"/>
  <c r="AO486" i="1" l="1"/>
  <c r="AP485" i="1"/>
  <c r="AO487" i="1" l="1"/>
  <c r="AP486" i="1"/>
  <c r="AO488" i="1" l="1"/>
  <c r="AP487" i="1"/>
  <c r="AO489" i="1" l="1"/>
  <c r="AP488" i="1"/>
  <c r="AO490" i="1" l="1"/>
  <c r="AP489" i="1"/>
  <c r="AO491" i="1" l="1"/>
  <c r="AP490" i="1"/>
  <c r="AO492" i="1" l="1"/>
  <c r="AP491" i="1"/>
  <c r="AO493" i="1" l="1"/>
  <c r="AP492" i="1"/>
  <c r="AO494" i="1" l="1"/>
  <c r="AP493" i="1"/>
  <c r="AO495" i="1" l="1"/>
  <c r="AP494" i="1"/>
  <c r="AO496" i="1" l="1"/>
  <c r="AP495" i="1"/>
  <c r="AO497" i="1" l="1"/>
  <c r="AP496" i="1"/>
  <c r="AO498" i="1" l="1"/>
  <c r="AP497" i="1"/>
  <c r="AO499" i="1" l="1"/>
  <c r="AP498" i="1"/>
  <c r="AO500" i="1" l="1"/>
  <c r="AP499" i="1"/>
  <c r="AP500" i="1" l="1"/>
</calcChain>
</file>

<file path=xl/sharedStrings.xml><?xml version="1.0" encoding="utf-8"?>
<sst xmlns="http://schemas.openxmlformats.org/spreadsheetml/2006/main" count="29" uniqueCount="22">
  <si>
    <t>VGS</t>
  </si>
  <si>
    <t>ID</t>
  </si>
  <si>
    <t>MAX: 500</t>
  </si>
  <si>
    <t>[Ω]</t>
  </si>
  <si>
    <t>MIN: 2</t>
  </si>
  <si>
    <t>FIJA</t>
  </si>
  <si>
    <t>AUTO</t>
  </si>
  <si>
    <t>DIVISOR</t>
  </si>
  <si>
    <r>
      <t>I</t>
    </r>
    <r>
      <rPr>
        <b/>
        <i/>
        <sz val="8"/>
        <color theme="1"/>
        <rFont val="Arial"/>
        <family val="2"/>
      </rPr>
      <t>DSS</t>
    </r>
  </si>
  <si>
    <r>
      <t>[</t>
    </r>
    <r>
      <rPr>
        <b/>
        <i/>
        <sz val="12"/>
        <color theme="1"/>
        <rFont val="Arial"/>
        <family val="2"/>
      </rPr>
      <t>A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</si>
  <si>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P</t>
    </r>
  </si>
  <si>
    <r>
      <t>[</t>
    </r>
    <r>
      <rPr>
        <b/>
        <i/>
        <sz val="12"/>
        <color theme="1"/>
        <rFont val="Arial"/>
        <family val="2"/>
      </rPr>
      <t>V</t>
    </r>
    <r>
      <rPr>
        <b/>
        <sz val="12"/>
        <color theme="1"/>
        <rFont val="Arial"/>
        <family val="2"/>
      </rPr>
      <t>]</t>
    </r>
  </si>
  <si>
    <r>
      <t>V</t>
    </r>
    <r>
      <rPr>
        <b/>
        <i/>
        <sz val="8"/>
        <color theme="1"/>
        <rFont val="Arial"/>
        <family val="2"/>
      </rPr>
      <t>GS</t>
    </r>
  </si>
  <si>
    <t>PUNTO Q</t>
  </si>
  <si>
    <r>
      <t>V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</si>
  <si>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DD</t>
    </r>
  </si>
  <si>
    <r>
      <t>R</t>
    </r>
    <r>
      <rPr>
        <b/>
        <i/>
        <sz val="8"/>
        <color theme="1"/>
        <rFont val="Arial"/>
        <family val="2"/>
      </rPr>
      <t>SS</t>
    </r>
  </si>
  <si>
    <r>
      <t>R</t>
    </r>
    <r>
      <rPr>
        <b/>
        <i/>
        <sz val="8"/>
        <color theme="1"/>
        <rFont val="Arial"/>
        <family val="2"/>
      </rPr>
      <t>1</t>
    </r>
  </si>
  <si>
    <r>
      <t>R</t>
    </r>
    <r>
      <rPr>
        <b/>
        <i/>
        <sz val="8"/>
        <color theme="1"/>
        <rFont val="Arial"/>
        <family val="2"/>
      </rPr>
      <t>2</t>
    </r>
  </si>
  <si>
    <t>V</t>
  </si>
  <si>
    <t>I</t>
  </si>
  <si>
    <t>Hecho por: Brayan Alexis Morales Vásquez/2022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</si>
</sst>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i/>
      <sz val="12"/>
      <color theme="1"/>
      <name val="Arial"/>
      <family val="2"/>
    </font>
    <font>
      <b/>
      <i/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i/>
      <sz val="9"/>
      <color theme="0"/>
      <name val="Arial"/>
      <family val="2"/>
    </font>
    <font>
      <b/>
      <i/>
      <sz val="11"/>
      <color theme="0"/>
      <name val="Arial"/>
      <family val="2"/>
    </font>
    <font>
      <b/>
      <i/>
      <sz val="12"/>
      <color theme="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1"/>
      <color theme="1"/>
      <name val="Arial"/>
      <family val="2"/>
    </font>
    <font>
      <b/>
      <i/>
      <sz val="10"/>
      <color theme="0"/>
      <name val="Arial"/>
      <family val="2"/>
    </font>
    <font>
      <sz val="11"/>
      <color theme="2"/>
      <name val="Calibri"/>
      <family val="2"/>
      <scheme val="minor"/>
    </font>
    <font>
      <b/>
      <i/>
      <sz val="12"/>
      <color theme="2"/>
      <name val="Arial"/>
      <family val="2"/>
    </font>
    <font>
      <b/>
      <i/>
      <sz val="16"/>
      <color theme="2"/>
      <name val="Arial"/>
      <family val="2"/>
    </font>
    <font>
      <b/>
      <i/>
      <sz val="10"/>
      <name val="Arial"/>
      <family val="2"/>
    </font>
    <font>
      <i/>
      <sz val="11"/>
      <color theme="1"/>
      <name val="Arial"/>
      <family val="2"/>
    </font>
    <font>
      <b/>
      <i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i/>
      <sz val="14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9" fillId="0" borderId="0" xfId="0" applyFont="1"/>
    <xf numFmtId="48" fontId="5" fillId="0" borderId="0" xfId="0" applyNumberFormat="1" applyFont="1"/>
    <xf numFmtId="48" fontId="9" fillId="0" borderId="0" xfId="0" applyNumberFormat="1" applyFont="1"/>
    <xf numFmtId="11" fontId="9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8" fontId="5" fillId="2" borderId="0" xfId="0" applyNumberFormat="1" applyFont="1" applyFill="1" applyAlignment="1">
      <alignment horizontal="center" vertical="center"/>
    </xf>
    <xf numFmtId="48" fontId="5" fillId="2" borderId="1" xfId="0" applyNumberFormat="1" applyFont="1" applyFill="1" applyBorder="1" applyAlignment="1">
      <alignment horizontal="center" vertical="center"/>
    </xf>
    <xf numFmtId="0" fontId="0" fillId="12" borderId="0" xfId="0" applyFill="1"/>
    <xf numFmtId="0" fontId="13" fillId="12" borderId="0" xfId="0" applyFont="1" applyFill="1"/>
    <xf numFmtId="0" fontId="14" fillId="12" borderId="0" xfId="0" applyFont="1" applyFill="1" applyAlignment="1">
      <alignment vertical="center"/>
    </xf>
    <xf numFmtId="0" fontId="5" fillId="12" borderId="0" xfId="0" applyFont="1" applyFill="1" applyAlignment="1">
      <alignment horizontal="center" vertical="center"/>
    </xf>
    <xf numFmtId="0" fontId="9" fillId="4" borderId="0" xfId="0" applyFont="1" applyFill="1"/>
    <xf numFmtId="48" fontId="5" fillId="4" borderId="0" xfId="0" applyNumberFormat="1" applyFont="1" applyFill="1"/>
    <xf numFmtId="0" fontId="5" fillId="4" borderId="0" xfId="0" applyFont="1" applyFill="1"/>
    <xf numFmtId="11" fontId="9" fillId="4" borderId="0" xfId="0" applyNumberFormat="1" applyFont="1" applyFill="1"/>
    <xf numFmtId="48" fontId="9" fillId="4" borderId="0" xfId="0" applyNumberFormat="1" applyFont="1" applyFill="1"/>
    <xf numFmtId="48" fontId="7" fillId="4" borderId="5" xfId="0" applyNumberFormat="1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1" fontId="7" fillId="4" borderId="7" xfId="0" applyNumberFormat="1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48" fontId="9" fillId="2" borderId="5" xfId="0" applyNumberFormat="1" applyFont="1" applyFill="1" applyBorder="1" applyAlignment="1">
      <alignment horizontal="center" vertical="center"/>
    </xf>
    <xf numFmtId="48" fontId="5" fillId="2" borderId="10" xfId="0" applyNumberFormat="1" applyFont="1" applyFill="1" applyBorder="1" applyAlignment="1">
      <alignment horizontal="center" vertical="center"/>
    </xf>
    <xf numFmtId="48" fontId="5" fillId="2" borderId="13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48" fontId="9" fillId="2" borderId="0" xfId="0" applyNumberFormat="1" applyFont="1" applyFill="1" applyAlignment="1">
      <alignment horizontal="center" vertical="center"/>
    </xf>
    <xf numFmtId="48" fontId="9" fillId="2" borderId="1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8" fontId="5" fillId="4" borderId="2" xfId="0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48" fontId="9" fillId="4" borderId="0" xfId="0" applyNumberFormat="1" applyFont="1" applyFill="1" applyAlignment="1">
      <alignment horizontal="center" vertical="center"/>
    </xf>
    <xf numFmtId="11" fontId="9" fillId="4" borderId="0" xfId="0" applyNumberFormat="1" applyFont="1" applyFill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48" fontId="9" fillId="4" borderId="12" xfId="0" applyNumberFormat="1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2" fontId="5" fillId="2" borderId="11" xfId="0" applyNumberFormat="1" applyFont="1" applyFill="1" applyBorder="1" applyAlignment="1">
      <alignment horizontal="center" vertical="center"/>
    </xf>
    <xf numFmtId="48" fontId="5" fillId="2" borderId="1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1" fontId="9" fillId="2" borderId="10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48" fontId="5" fillId="2" borderId="8" xfId="0" applyNumberFormat="1" applyFont="1" applyFill="1" applyBorder="1" applyAlignment="1">
      <alignment horizontal="center" vertical="center"/>
    </xf>
    <xf numFmtId="48" fontId="9" fillId="2" borderId="7" xfId="0" applyNumberFormat="1" applyFont="1" applyFill="1" applyBorder="1" applyAlignment="1">
      <alignment horizontal="center" vertical="center"/>
    </xf>
    <xf numFmtId="48" fontId="5" fillId="4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48" fontId="9" fillId="7" borderId="0" xfId="0" applyNumberFormat="1" applyFont="1" applyFill="1" applyAlignment="1">
      <alignment horizontal="center" vertical="center"/>
    </xf>
    <xf numFmtId="48" fontId="9" fillId="7" borderId="1" xfId="0" applyNumberFormat="1" applyFont="1" applyFill="1" applyBorder="1" applyAlignment="1">
      <alignment horizontal="center" vertical="center"/>
    </xf>
    <xf numFmtId="48" fontId="5" fillId="8" borderId="1" xfId="0" applyNumberFormat="1" applyFont="1" applyFill="1" applyBorder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48" fontId="5" fillId="8" borderId="0" xfId="0" applyNumberFormat="1" applyFont="1" applyFill="1" applyAlignment="1">
      <alignment horizontal="center" vertical="center"/>
    </xf>
    <xf numFmtId="48" fontId="9" fillId="8" borderId="0" xfId="0" applyNumberFormat="1" applyFont="1" applyFill="1" applyAlignment="1">
      <alignment horizontal="center" vertical="center"/>
    </xf>
    <xf numFmtId="48" fontId="9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48" fontId="5" fillId="8" borderId="2" xfId="0" applyNumberFormat="1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48" fontId="9" fillId="8" borderId="4" xfId="0" applyNumberFormat="1" applyFont="1" applyFill="1" applyBorder="1" applyAlignment="1">
      <alignment horizontal="center" vertical="center"/>
    </xf>
    <xf numFmtId="48" fontId="9" fillId="8" borderId="2" xfId="0" applyNumberFormat="1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48" fontId="5" fillId="8" borderId="12" xfId="0" applyNumberFormat="1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48" fontId="5" fillId="8" borderId="9" xfId="0" applyNumberFormat="1" applyFont="1" applyFill="1" applyBorder="1" applyAlignment="1">
      <alignment horizontal="center" vertical="center"/>
    </xf>
    <xf numFmtId="11" fontId="9" fillId="8" borderId="4" xfId="0" applyNumberFormat="1" applyFont="1" applyFill="1" applyBorder="1" applyAlignment="1">
      <alignment horizontal="center" vertical="center"/>
    </xf>
    <xf numFmtId="2" fontId="9" fillId="2" borderId="0" xfId="0" applyNumberFormat="1" applyFont="1" applyFill="1" applyAlignment="1">
      <alignment horizontal="center" vertical="center"/>
    </xf>
    <xf numFmtId="2" fontId="9" fillId="8" borderId="3" xfId="0" applyNumberFormat="1" applyFont="1" applyFill="1" applyBorder="1" applyAlignment="1">
      <alignment horizontal="center" vertical="center"/>
    </xf>
    <xf numFmtId="2" fontId="9" fillId="7" borderId="0" xfId="0" applyNumberFormat="1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0" fontId="20" fillId="13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2" fontId="9" fillId="12" borderId="0" xfId="0" applyNumberFormat="1" applyFont="1" applyFill="1" applyAlignment="1">
      <alignment horizontal="center" vertical="center"/>
    </xf>
    <xf numFmtId="48" fontId="9" fillId="12" borderId="0" xfId="0" applyNumberFormat="1" applyFont="1" applyFill="1" applyAlignment="1">
      <alignment horizontal="center" vertical="center"/>
    </xf>
    <xf numFmtId="48" fontId="9" fillId="12" borderId="1" xfId="0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vertical="center"/>
    </xf>
    <xf numFmtId="0" fontId="19" fillId="12" borderId="0" xfId="1" applyFill="1" applyBorder="1" applyAlignment="1">
      <alignment vertical="center" wrapText="1"/>
    </xf>
    <xf numFmtId="0" fontId="16" fillId="12" borderId="0" xfId="0" applyFont="1" applyFill="1" applyAlignment="1">
      <alignment vertical="center" wrapText="1"/>
    </xf>
    <xf numFmtId="0" fontId="8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0" fontId="15" fillId="12" borderId="0" xfId="0" applyFont="1" applyFill="1" applyAlignment="1">
      <alignment vertical="center"/>
    </xf>
    <xf numFmtId="0" fontId="2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/>
    </xf>
    <xf numFmtId="0" fontId="5" fillId="12" borderId="0" xfId="0" applyFont="1" applyFill="1"/>
    <xf numFmtId="0" fontId="8" fillId="5" borderId="0" xfId="0" applyFont="1" applyFill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11" fontId="10" fillId="10" borderId="2" xfId="0" applyNumberFormat="1" applyFont="1" applyFill="1" applyBorder="1" applyAlignment="1">
      <alignment horizontal="center" vertical="center"/>
    </xf>
    <xf numFmtId="11" fontId="10" fillId="10" borderId="4" xfId="0" applyNumberFormat="1" applyFont="1" applyFill="1" applyBorder="1" applyAlignment="1">
      <alignment horizontal="center" vertical="center"/>
    </xf>
    <xf numFmtId="48" fontId="4" fillId="3" borderId="0" xfId="0" applyNumberFormat="1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48" fontId="17" fillId="8" borderId="0" xfId="0" applyNumberFormat="1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48" fontId="17" fillId="2" borderId="0" xfId="0" applyNumberFormat="1" applyFon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A86D"/>
      <color rgb="FFF97399"/>
      <color rgb="FFDB9E23"/>
      <color rgb="FFFFFF71"/>
      <color rgb="FFFFFF00"/>
      <color rgb="FFFFFF99"/>
      <color rgb="FFFFC761"/>
      <color rgb="FFFFD382"/>
      <color rgb="FFDBA034"/>
      <color rgb="FFDA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266423046209781E-2"/>
          <c:y val="4.8784118034628392E-2"/>
          <c:w val="0.83338119608057337"/>
          <c:h val="0.82670425456077246"/>
        </c:manualLayout>
      </c:layout>
      <c:scatterChart>
        <c:scatterStyle val="lineMarker"/>
        <c:varyColors val="0"/>
        <c:ser>
          <c:idx val="0"/>
          <c:order val="0"/>
          <c:tx>
            <c:v>CURVA</c:v>
          </c:tx>
          <c:spPr>
            <a:ln w="317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587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Hoja1!$AO$1:$AO$500</c:f>
              <c:numCache>
                <c:formatCode>0.00</c:formatCode>
                <c:ptCount val="500"/>
                <c:pt idx="0">
                  <c:v>0</c:v>
                </c:pt>
                <c:pt idx="1">
                  <c:v>-1.1111111111111112</c:v>
                </c:pt>
                <c:pt idx="2">
                  <c:v>-2.2222222222222223</c:v>
                </c:pt>
                <c:pt idx="3">
                  <c:v>-3.3333333333333335</c:v>
                </c:pt>
                <c:pt idx="4">
                  <c:v>-4.4444444444444446</c:v>
                </c:pt>
                <c:pt idx="5">
                  <c:v>-5.5555555555555554</c:v>
                </c:pt>
                <c:pt idx="6">
                  <c:v>-6.6666666666666661</c:v>
                </c:pt>
                <c:pt idx="7">
                  <c:v>-7.7777777777777768</c:v>
                </c:pt>
                <c:pt idx="8">
                  <c:v>-8.8888888888888875</c:v>
                </c:pt>
                <c:pt idx="9">
                  <c:v>-9.9999999999999982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  <c:pt idx="41">
                  <c:v>-10</c:v>
                </c:pt>
                <c:pt idx="42">
                  <c:v>-10</c:v>
                </c:pt>
                <c:pt idx="43">
                  <c:v>-10</c:v>
                </c:pt>
                <c:pt idx="44">
                  <c:v>-10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-10</c:v>
                </c:pt>
                <c:pt idx="51">
                  <c:v>-10</c:v>
                </c:pt>
                <c:pt idx="52">
                  <c:v>-10</c:v>
                </c:pt>
                <c:pt idx="53">
                  <c:v>-10</c:v>
                </c:pt>
                <c:pt idx="54">
                  <c:v>-10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-10</c:v>
                </c:pt>
                <c:pt idx="61">
                  <c:v>-10</c:v>
                </c:pt>
                <c:pt idx="62">
                  <c:v>-10</c:v>
                </c:pt>
                <c:pt idx="63">
                  <c:v>-10</c:v>
                </c:pt>
                <c:pt idx="64">
                  <c:v>-10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-10</c:v>
                </c:pt>
                <c:pt idx="71">
                  <c:v>-10</c:v>
                </c:pt>
                <c:pt idx="72">
                  <c:v>-10</c:v>
                </c:pt>
                <c:pt idx="73">
                  <c:v>-10</c:v>
                </c:pt>
                <c:pt idx="74">
                  <c:v>-10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-10</c:v>
                </c:pt>
                <c:pt idx="81">
                  <c:v>-10</c:v>
                </c:pt>
                <c:pt idx="82">
                  <c:v>-10</c:v>
                </c:pt>
                <c:pt idx="83">
                  <c:v>-10</c:v>
                </c:pt>
                <c:pt idx="84">
                  <c:v>-10</c:v>
                </c:pt>
                <c:pt idx="85">
                  <c:v>-10</c:v>
                </c:pt>
                <c:pt idx="86">
                  <c:v>-10</c:v>
                </c:pt>
                <c:pt idx="87">
                  <c:v>-10</c:v>
                </c:pt>
                <c:pt idx="88">
                  <c:v>-10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-10</c:v>
                </c:pt>
                <c:pt idx="110">
                  <c:v>-10</c:v>
                </c:pt>
                <c:pt idx="111">
                  <c:v>-10</c:v>
                </c:pt>
                <c:pt idx="112">
                  <c:v>-10</c:v>
                </c:pt>
                <c:pt idx="113">
                  <c:v>-10</c:v>
                </c:pt>
                <c:pt idx="114">
                  <c:v>-10</c:v>
                </c:pt>
                <c:pt idx="115">
                  <c:v>-10</c:v>
                </c:pt>
                <c:pt idx="116">
                  <c:v>-10</c:v>
                </c:pt>
                <c:pt idx="117">
                  <c:v>-10</c:v>
                </c:pt>
                <c:pt idx="118">
                  <c:v>-10</c:v>
                </c:pt>
                <c:pt idx="119">
                  <c:v>-10</c:v>
                </c:pt>
                <c:pt idx="120">
                  <c:v>-10</c:v>
                </c:pt>
                <c:pt idx="121">
                  <c:v>-10</c:v>
                </c:pt>
                <c:pt idx="122">
                  <c:v>-10</c:v>
                </c:pt>
                <c:pt idx="123">
                  <c:v>-10</c:v>
                </c:pt>
                <c:pt idx="124">
                  <c:v>-10</c:v>
                </c:pt>
                <c:pt idx="125">
                  <c:v>-10</c:v>
                </c:pt>
                <c:pt idx="126">
                  <c:v>-10</c:v>
                </c:pt>
                <c:pt idx="127">
                  <c:v>-10</c:v>
                </c:pt>
                <c:pt idx="128">
                  <c:v>-10</c:v>
                </c:pt>
                <c:pt idx="129">
                  <c:v>-10</c:v>
                </c:pt>
                <c:pt idx="130">
                  <c:v>-10</c:v>
                </c:pt>
                <c:pt idx="131">
                  <c:v>-10</c:v>
                </c:pt>
                <c:pt idx="132">
                  <c:v>-10</c:v>
                </c:pt>
                <c:pt idx="133">
                  <c:v>-10</c:v>
                </c:pt>
                <c:pt idx="134">
                  <c:v>-10</c:v>
                </c:pt>
                <c:pt idx="135">
                  <c:v>-10</c:v>
                </c:pt>
                <c:pt idx="136">
                  <c:v>-10</c:v>
                </c:pt>
                <c:pt idx="137">
                  <c:v>-10</c:v>
                </c:pt>
                <c:pt idx="138">
                  <c:v>-10</c:v>
                </c:pt>
                <c:pt idx="139">
                  <c:v>-10</c:v>
                </c:pt>
                <c:pt idx="140">
                  <c:v>-10</c:v>
                </c:pt>
                <c:pt idx="141">
                  <c:v>-10</c:v>
                </c:pt>
                <c:pt idx="142">
                  <c:v>-10</c:v>
                </c:pt>
                <c:pt idx="143">
                  <c:v>-10</c:v>
                </c:pt>
                <c:pt idx="144">
                  <c:v>-10</c:v>
                </c:pt>
                <c:pt idx="145">
                  <c:v>-10</c:v>
                </c:pt>
                <c:pt idx="146">
                  <c:v>-10</c:v>
                </c:pt>
                <c:pt idx="147">
                  <c:v>-10</c:v>
                </c:pt>
                <c:pt idx="148">
                  <c:v>-10</c:v>
                </c:pt>
                <c:pt idx="149">
                  <c:v>-10</c:v>
                </c:pt>
                <c:pt idx="150">
                  <c:v>-10</c:v>
                </c:pt>
                <c:pt idx="151">
                  <c:v>-10</c:v>
                </c:pt>
                <c:pt idx="152">
                  <c:v>-10</c:v>
                </c:pt>
                <c:pt idx="153">
                  <c:v>-10</c:v>
                </c:pt>
                <c:pt idx="154">
                  <c:v>-10</c:v>
                </c:pt>
                <c:pt idx="155">
                  <c:v>-10</c:v>
                </c:pt>
                <c:pt idx="156">
                  <c:v>-10</c:v>
                </c:pt>
                <c:pt idx="157">
                  <c:v>-10</c:v>
                </c:pt>
                <c:pt idx="158">
                  <c:v>-10</c:v>
                </c:pt>
                <c:pt idx="159">
                  <c:v>-10</c:v>
                </c:pt>
                <c:pt idx="160">
                  <c:v>-10</c:v>
                </c:pt>
                <c:pt idx="161">
                  <c:v>-10</c:v>
                </c:pt>
                <c:pt idx="162">
                  <c:v>-10</c:v>
                </c:pt>
                <c:pt idx="163">
                  <c:v>-10</c:v>
                </c:pt>
                <c:pt idx="164">
                  <c:v>-10</c:v>
                </c:pt>
                <c:pt idx="165">
                  <c:v>-10</c:v>
                </c:pt>
                <c:pt idx="166">
                  <c:v>-10</c:v>
                </c:pt>
                <c:pt idx="167">
                  <c:v>-10</c:v>
                </c:pt>
                <c:pt idx="168">
                  <c:v>-10</c:v>
                </c:pt>
                <c:pt idx="169">
                  <c:v>-10</c:v>
                </c:pt>
                <c:pt idx="170">
                  <c:v>-10</c:v>
                </c:pt>
                <c:pt idx="171">
                  <c:v>-10</c:v>
                </c:pt>
                <c:pt idx="172">
                  <c:v>-10</c:v>
                </c:pt>
                <c:pt idx="173">
                  <c:v>-10</c:v>
                </c:pt>
                <c:pt idx="174">
                  <c:v>-10</c:v>
                </c:pt>
                <c:pt idx="175">
                  <c:v>-10</c:v>
                </c:pt>
                <c:pt idx="176">
                  <c:v>-10</c:v>
                </c:pt>
                <c:pt idx="177">
                  <c:v>-10</c:v>
                </c:pt>
                <c:pt idx="178">
                  <c:v>-10</c:v>
                </c:pt>
                <c:pt idx="179">
                  <c:v>-10</c:v>
                </c:pt>
                <c:pt idx="180">
                  <c:v>-10</c:v>
                </c:pt>
                <c:pt idx="181">
                  <c:v>-10</c:v>
                </c:pt>
                <c:pt idx="182">
                  <c:v>-10</c:v>
                </c:pt>
                <c:pt idx="183">
                  <c:v>-10</c:v>
                </c:pt>
                <c:pt idx="184">
                  <c:v>-10</c:v>
                </c:pt>
                <c:pt idx="185">
                  <c:v>-10</c:v>
                </c:pt>
                <c:pt idx="186">
                  <c:v>-10</c:v>
                </c:pt>
                <c:pt idx="187">
                  <c:v>-10</c:v>
                </c:pt>
                <c:pt idx="188">
                  <c:v>-10</c:v>
                </c:pt>
                <c:pt idx="189">
                  <c:v>-10</c:v>
                </c:pt>
                <c:pt idx="190">
                  <c:v>-10</c:v>
                </c:pt>
                <c:pt idx="191">
                  <c:v>-10</c:v>
                </c:pt>
                <c:pt idx="192">
                  <c:v>-10</c:v>
                </c:pt>
                <c:pt idx="193">
                  <c:v>-10</c:v>
                </c:pt>
                <c:pt idx="194">
                  <c:v>-10</c:v>
                </c:pt>
                <c:pt idx="195">
                  <c:v>-10</c:v>
                </c:pt>
                <c:pt idx="196">
                  <c:v>-10</c:v>
                </c:pt>
                <c:pt idx="197">
                  <c:v>-10</c:v>
                </c:pt>
                <c:pt idx="198">
                  <c:v>-10</c:v>
                </c:pt>
                <c:pt idx="199">
                  <c:v>-10</c:v>
                </c:pt>
                <c:pt idx="200">
                  <c:v>-10</c:v>
                </c:pt>
                <c:pt idx="201">
                  <c:v>-10</c:v>
                </c:pt>
                <c:pt idx="202">
                  <c:v>-10</c:v>
                </c:pt>
                <c:pt idx="203">
                  <c:v>-10</c:v>
                </c:pt>
                <c:pt idx="204">
                  <c:v>-10</c:v>
                </c:pt>
                <c:pt idx="205">
                  <c:v>-10</c:v>
                </c:pt>
                <c:pt idx="206">
                  <c:v>-10</c:v>
                </c:pt>
                <c:pt idx="207">
                  <c:v>-10</c:v>
                </c:pt>
                <c:pt idx="208">
                  <c:v>-10</c:v>
                </c:pt>
                <c:pt idx="209">
                  <c:v>-10</c:v>
                </c:pt>
                <c:pt idx="210">
                  <c:v>-10</c:v>
                </c:pt>
                <c:pt idx="211">
                  <c:v>-10</c:v>
                </c:pt>
                <c:pt idx="212">
                  <c:v>-10</c:v>
                </c:pt>
                <c:pt idx="213">
                  <c:v>-10</c:v>
                </c:pt>
                <c:pt idx="214">
                  <c:v>-10</c:v>
                </c:pt>
                <c:pt idx="215">
                  <c:v>-10</c:v>
                </c:pt>
                <c:pt idx="216">
                  <c:v>-10</c:v>
                </c:pt>
                <c:pt idx="217">
                  <c:v>-10</c:v>
                </c:pt>
                <c:pt idx="218">
                  <c:v>-10</c:v>
                </c:pt>
                <c:pt idx="219">
                  <c:v>-10</c:v>
                </c:pt>
                <c:pt idx="220">
                  <c:v>-10</c:v>
                </c:pt>
                <c:pt idx="221">
                  <c:v>-10</c:v>
                </c:pt>
                <c:pt idx="222">
                  <c:v>-10</c:v>
                </c:pt>
                <c:pt idx="223">
                  <c:v>-10</c:v>
                </c:pt>
                <c:pt idx="224">
                  <c:v>-10</c:v>
                </c:pt>
                <c:pt idx="225">
                  <c:v>-10</c:v>
                </c:pt>
                <c:pt idx="226">
                  <c:v>-10</c:v>
                </c:pt>
                <c:pt idx="227">
                  <c:v>-10</c:v>
                </c:pt>
                <c:pt idx="228">
                  <c:v>-10</c:v>
                </c:pt>
                <c:pt idx="229">
                  <c:v>-10</c:v>
                </c:pt>
                <c:pt idx="230">
                  <c:v>-10</c:v>
                </c:pt>
                <c:pt idx="231">
                  <c:v>-10</c:v>
                </c:pt>
                <c:pt idx="232">
                  <c:v>-10</c:v>
                </c:pt>
                <c:pt idx="233">
                  <c:v>-10</c:v>
                </c:pt>
                <c:pt idx="234">
                  <c:v>-10</c:v>
                </c:pt>
                <c:pt idx="235">
                  <c:v>-10</c:v>
                </c:pt>
                <c:pt idx="236">
                  <c:v>-10</c:v>
                </c:pt>
                <c:pt idx="237">
                  <c:v>-10</c:v>
                </c:pt>
                <c:pt idx="238">
                  <c:v>-10</c:v>
                </c:pt>
                <c:pt idx="239">
                  <c:v>-10</c:v>
                </c:pt>
                <c:pt idx="240">
                  <c:v>-10</c:v>
                </c:pt>
                <c:pt idx="241">
                  <c:v>-10</c:v>
                </c:pt>
                <c:pt idx="242">
                  <c:v>-10</c:v>
                </c:pt>
                <c:pt idx="243">
                  <c:v>-10</c:v>
                </c:pt>
                <c:pt idx="244">
                  <c:v>-10</c:v>
                </c:pt>
                <c:pt idx="245">
                  <c:v>-10</c:v>
                </c:pt>
                <c:pt idx="246">
                  <c:v>-10</c:v>
                </c:pt>
                <c:pt idx="247">
                  <c:v>-10</c:v>
                </c:pt>
                <c:pt idx="248">
                  <c:v>-10</c:v>
                </c:pt>
                <c:pt idx="249">
                  <c:v>-10</c:v>
                </c:pt>
                <c:pt idx="250">
                  <c:v>-10</c:v>
                </c:pt>
                <c:pt idx="251">
                  <c:v>-10</c:v>
                </c:pt>
                <c:pt idx="252">
                  <c:v>-10</c:v>
                </c:pt>
                <c:pt idx="253">
                  <c:v>-10</c:v>
                </c:pt>
                <c:pt idx="254">
                  <c:v>-10</c:v>
                </c:pt>
                <c:pt idx="255">
                  <c:v>-10</c:v>
                </c:pt>
                <c:pt idx="256">
                  <c:v>-10</c:v>
                </c:pt>
                <c:pt idx="257">
                  <c:v>-10</c:v>
                </c:pt>
                <c:pt idx="258">
                  <c:v>-10</c:v>
                </c:pt>
                <c:pt idx="259">
                  <c:v>-10</c:v>
                </c:pt>
                <c:pt idx="260">
                  <c:v>-10</c:v>
                </c:pt>
                <c:pt idx="261">
                  <c:v>-10</c:v>
                </c:pt>
                <c:pt idx="262">
                  <c:v>-10</c:v>
                </c:pt>
                <c:pt idx="263">
                  <c:v>-10</c:v>
                </c:pt>
                <c:pt idx="264">
                  <c:v>-10</c:v>
                </c:pt>
                <c:pt idx="265">
                  <c:v>-10</c:v>
                </c:pt>
                <c:pt idx="266">
                  <c:v>-10</c:v>
                </c:pt>
                <c:pt idx="267">
                  <c:v>-10</c:v>
                </c:pt>
                <c:pt idx="268">
                  <c:v>-10</c:v>
                </c:pt>
                <c:pt idx="269">
                  <c:v>-10</c:v>
                </c:pt>
                <c:pt idx="270">
                  <c:v>-10</c:v>
                </c:pt>
                <c:pt idx="271">
                  <c:v>-10</c:v>
                </c:pt>
                <c:pt idx="272">
                  <c:v>-10</c:v>
                </c:pt>
                <c:pt idx="273">
                  <c:v>-10</c:v>
                </c:pt>
                <c:pt idx="274">
                  <c:v>-10</c:v>
                </c:pt>
                <c:pt idx="275">
                  <c:v>-10</c:v>
                </c:pt>
                <c:pt idx="276">
                  <c:v>-10</c:v>
                </c:pt>
                <c:pt idx="277">
                  <c:v>-10</c:v>
                </c:pt>
                <c:pt idx="278">
                  <c:v>-10</c:v>
                </c:pt>
                <c:pt idx="279">
                  <c:v>-10</c:v>
                </c:pt>
                <c:pt idx="280">
                  <c:v>-10</c:v>
                </c:pt>
                <c:pt idx="281">
                  <c:v>-10</c:v>
                </c:pt>
                <c:pt idx="282">
                  <c:v>-10</c:v>
                </c:pt>
                <c:pt idx="283">
                  <c:v>-10</c:v>
                </c:pt>
                <c:pt idx="284">
                  <c:v>-10</c:v>
                </c:pt>
                <c:pt idx="285">
                  <c:v>-10</c:v>
                </c:pt>
                <c:pt idx="286">
                  <c:v>-10</c:v>
                </c:pt>
                <c:pt idx="287">
                  <c:v>-10</c:v>
                </c:pt>
                <c:pt idx="288">
                  <c:v>-10</c:v>
                </c:pt>
                <c:pt idx="289">
                  <c:v>-10</c:v>
                </c:pt>
                <c:pt idx="290">
                  <c:v>-10</c:v>
                </c:pt>
                <c:pt idx="291">
                  <c:v>-10</c:v>
                </c:pt>
                <c:pt idx="292">
                  <c:v>-10</c:v>
                </c:pt>
                <c:pt idx="293">
                  <c:v>-10</c:v>
                </c:pt>
                <c:pt idx="294">
                  <c:v>-10</c:v>
                </c:pt>
                <c:pt idx="295">
                  <c:v>-10</c:v>
                </c:pt>
                <c:pt idx="296">
                  <c:v>-10</c:v>
                </c:pt>
                <c:pt idx="297">
                  <c:v>-10</c:v>
                </c:pt>
                <c:pt idx="298">
                  <c:v>-10</c:v>
                </c:pt>
                <c:pt idx="299">
                  <c:v>-10</c:v>
                </c:pt>
                <c:pt idx="300">
                  <c:v>-10</c:v>
                </c:pt>
                <c:pt idx="301">
                  <c:v>-10</c:v>
                </c:pt>
                <c:pt idx="302">
                  <c:v>-10</c:v>
                </c:pt>
                <c:pt idx="303">
                  <c:v>-10</c:v>
                </c:pt>
                <c:pt idx="304">
                  <c:v>-10</c:v>
                </c:pt>
                <c:pt idx="305">
                  <c:v>-10</c:v>
                </c:pt>
                <c:pt idx="306">
                  <c:v>-10</c:v>
                </c:pt>
                <c:pt idx="307">
                  <c:v>-10</c:v>
                </c:pt>
                <c:pt idx="308">
                  <c:v>-10</c:v>
                </c:pt>
                <c:pt idx="309">
                  <c:v>-10</c:v>
                </c:pt>
                <c:pt idx="310">
                  <c:v>-10</c:v>
                </c:pt>
                <c:pt idx="311">
                  <c:v>-10</c:v>
                </c:pt>
                <c:pt idx="312">
                  <c:v>-10</c:v>
                </c:pt>
                <c:pt idx="313">
                  <c:v>-10</c:v>
                </c:pt>
                <c:pt idx="314">
                  <c:v>-10</c:v>
                </c:pt>
                <c:pt idx="315">
                  <c:v>-10</c:v>
                </c:pt>
                <c:pt idx="316">
                  <c:v>-10</c:v>
                </c:pt>
                <c:pt idx="317">
                  <c:v>-10</c:v>
                </c:pt>
                <c:pt idx="318">
                  <c:v>-10</c:v>
                </c:pt>
                <c:pt idx="319">
                  <c:v>-10</c:v>
                </c:pt>
                <c:pt idx="320">
                  <c:v>-10</c:v>
                </c:pt>
                <c:pt idx="321">
                  <c:v>-10</c:v>
                </c:pt>
                <c:pt idx="322">
                  <c:v>-10</c:v>
                </c:pt>
                <c:pt idx="323">
                  <c:v>-10</c:v>
                </c:pt>
                <c:pt idx="324">
                  <c:v>-10</c:v>
                </c:pt>
                <c:pt idx="325">
                  <c:v>-10</c:v>
                </c:pt>
                <c:pt idx="326">
                  <c:v>-10</c:v>
                </c:pt>
                <c:pt idx="327">
                  <c:v>-10</c:v>
                </c:pt>
                <c:pt idx="328">
                  <c:v>-10</c:v>
                </c:pt>
                <c:pt idx="329">
                  <c:v>-10</c:v>
                </c:pt>
                <c:pt idx="330">
                  <c:v>-10</c:v>
                </c:pt>
                <c:pt idx="331">
                  <c:v>-10</c:v>
                </c:pt>
                <c:pt idx="332">
                  <c:v>-10</c:v>
                </c:pt>
                <c:pt idx="333">
                  <c:v>-10</c:v>
                </c:pt>
                <c:pt idx="334">
                  <c:v>-10</c:v>
                </c:pt>
                <c:pt idx="335">
                  <c:v>-10</c:v>
                </c:pt>
                <c:pt idx="336">
                  <c:v>-10</c:v>
                </c:pt>
                <c:pt idx="337">
                  <c:v>-10</c:v>
                </c:pt>
                <c:pt idx="338">
                  <c:v>-10</c:v>
                </c:pt>
                <c:pt idx="339">
                  <c:v>-10</c:v>
                </c:pt>
                <c:pt idx="340">
                  <c:v>-10</c:v>
                </c:pt>
                <c:pt idx="341">
                  <c:v>-10</c:v>
                </c:pt>
                <c:pt idx="342">
                  <c:v>-10</c:v>
                </c:pt>
                <c:pt idx="343">
                  <c:v>-10</c:v>
                </c:pt>
                <c:pt idx="344">
                  <c:v>-10</c:v>
                </c:pt>
                <c:pt idx="345">
                  <c:v>-10</c:v>
                </c:pt>
                <c:pt idx="346">
                  <c:v>-10</c:v>
                </c:pt>
                <c:pt idx="347">
                  <c:v>-10</c:v>
                </c:pt>
                <c:pt idx="348">
                  <c:v>-10</c:v>
                </c:pt>
                <c:pt idx="349">
                  <c:v>-10</c:v>
                </c:pt>
                <c:pt idx="350">
                  <c:v>-10</c:v>
                </c:pt>
                <c:pt idx="351">
                  <c:v>-10</c:v>
                </c:pt>
                <c:pt idx="352">
                  <c:v>-10</c:v>
                </c:pt>
                <c:pt idx="353">
                  <c:v>-10</c:v>
                </c:pt>
                <c:pt idx="354">
                  <c:v>-10</c:v>
                </c:pt>
                <c:pt idx="355">
                  <c:v>-10</c:v>
                </c:pt>
                <c:pt idx="356">
                  <c:v>-10</c:v>
                </c:pt>
                <c:pt idx="357">
                  <c:v>-10</c:v>
                </c:pt>
                <c:pt idx="358">
                  <c:v>-10</c:v>
                </c:pt>
                <c:pt idx="359">
                  <c:v>-10</c:v>
                </c:pt>
                <c:pt idx="360">
                  <c:v>-10</c:v>
                </c:pt>
                <c:pt idx="361">
                  <c:v>-10</c:v>
                </c:pt>
                <c:pt idx="362">
                  <c:v>-10</c:v>
                </c:pt>
                <c:pt idx="363">
                  <c:v>-10</c:v>
                </c:pt>
                <c:pt idx="364">
                  <c:v>-10</c:v>
                </c:pt>
                <c:pt idx="365">
                  <c:v>-10</c:v>
                </c:pt>
                <c:pt idx="366">
                  <c:v>-10</c:v>
                </c:pt>
                <c:pt idx="367">
                  <c:v>-10</c:v>
                </c:pt>
                <c:pt idx="368">
                  <c:v>-10</c:v>
                </c:pt>
                <c:pt idx="369">
                  <c:v>-10</c:v>
                </c:pt>
                <c:pt idx="370">
                  <c:v>-10</c:v>
                </c:pt>
                <c:pt idx="371">
                  <c:v>-10</c:v>
                </c:pt>
                <c:pt idx="372">
                  <c:v>-10</c:v>
                </c:pt>
                <c:pt idx="373">
                  <c:v>-10</c:v>
                </c:pt>
                <c:pt idx="374">
                  <c:v>-10</c:v>
                </c:pt>
                <c:pt idx="375">
                  <c:v>-10</c:v>
                </c:pt>
                <c:pt idx="376">
                  <c:v>-10</c:v>
                </c:pt>
                <c:pt idx="377">
                  <c:v>-10</c:v>
                </c:pt>
                <c:pt idx="378">
                  <c:v>-10</c:v>
                </c:pt>
                <c:pt idx="379">
                  <c:v>-10</c:v>
                </c:pt>
                <c:pt idx="380">
                  <c:v>-10</c:v>
                </c:pt>
                <c:pt idx="381">
                  <c:v>-10</c:v>
                </c:pt>
                <c:pt idx="382">
                  <c:v>-10</c:v>
                </c:pt>
                <c:pt idx="383">
                  <c:v>-10</c:v>
                </c:pt>
                <c:pt idx="384">
                  <c:v>-10</c:v>
                </c:pt>
                <c:pt idx="385">
                  <c:v>-10</c:v>
                </c:pt>
                <c:pt idx="386">
                  <c:v>-10</c:v>
                </c:pt>
                <c:pt idx="387">
                  <c:v>-10</c:v>
                </c:pt>
                <c:pt idx="388">
                  <c:v>-10</c:v>
                </c:pt>
                <c:pt idx="389">
                  <c:v>-10</c:v>
                </c:pt>
                <c:pt idx="390">
                  <c:v>-10</c:v>
                </c:pt>
                <c:pt idx="391">
                  <c:v>-10</c:v>
                </c:pt>
                <c:pt idx="392">
                  <c:v>-10</c:v>
                </c:pt>
                <c:pt idx="393">
                  <c:v>-10</c:v>
                </c:pt>
                <c:pt idx="394">
                  <c:v>-10</c:v>
                </c:pt>
                <c:pt idx="395">
                  <c:v>-10</c:v>
                </c:pt>
                <c:pt idx="396">
                  <c:v>-10</c:v>
                </c:pt>
                <c:pt idx="397">
                  <c:v>-10</c:v>
                </c:pt>
                <c:pt idx="398">
                  <c:v>-10</c:v>
                </c:pt>
                <c:pt idx="399">
                  <c:v>-10</c:v>
                </c:pt>
                <c:pt idx="400">
                  <c:v>-10</c:v>
                </c:pt>
                <c:pt idx="401">
                  <c:v>-10</c:v>
                </c:pt>
                <c:pt idx="402">
                  <c:v>-10</c:v>
                </c:pt>
                <c:pt idx="403">
                  <c:v>-10</c:v>
                </c:pt>
                <c:pt idx="404">
                  <c:v>-10</c:v>
                </c:pt>
                <c:pt idx="405">
                  <c:v>-10</c:v>
                </c:pt>
                <c:pt idx="406">
                  <c:v>-10</c:v>
                </c:pt>
                <c:pt idx="407">
                  <c:v>-10</c:v>
                </c:pt>
                <c:pt idx="408">
                  <c:v>-10</c:v>
                </c:pt>
                <c:pt idx="409">
                  <c:v>-10</c:v>
                </c:pt>
                <c:pt idx="410">
                  <c:v>-10</c:v>
                </c:pt>
                <c:pt idx="411">
                  <c:v>-10</c:v>
                </c:pt>
                <c:pt idx="412">
                  <c:v>-10</c:v>
                </c:pt>
                <c:pt idx="413">
                  <c:v>-10</c:v>
                </c:pt>
                <c:pt idx="414">
                  <c:v>-10</c:v>
                </c:pt>
                <c:pt idx="415">
                  <c:v>-10</c:v>
                </c:pt>
                <c:pt idx="416">
                  <c:v>-10</c:v>
                </c:pt>
                <c:pt idx="417">
                  <c:v>-10</c:v>
                </c:pt>
                <c:pt idx="418">
                  <c:v>-10</c:v>
                </c:pt>
                <c:pt idx="419">
                  <c:v>-10</c:v>
                </c:pt>
                <c:pt idx="420">
                  <c:v>-10</c:v>
                </c:pt>
                <c:pt idx="421">
                  <c:v>-10</c:v>
                </c:pt>
                <c:pt idx="422">
                  <c:v>-10</c:v>
                </c:pt>
                <c:pt idx="423">
                  <c:v>-10</c:v>
                </c:pt>
                <c:pt idx="424">
                  <c:v>-10</c:v>
                </c:pt>
                <c:pt idx="425">
                  <c:v>-10</c:v>
                </c:pt>
                <c:pt idx="426">
                  <c:v>-10</c:v>
                </c:pt>
                <c:pt idx="427">
                  <c:v>-10</c:v>
                </c:pt>
                <c:pt idx="428">
                  <c:v>-10</c:v>
                </c:pt>
                <c:pt idx="429">
                  <c:v>-10</c:v>
                </c:pt>
                <c:pt idx="430">
                  <c:v>-10</c:v>
                </c:pt>
                <c:pt idx="431">
                  <c:v>-10</c:v>
                </c:pt>
                <c:pt idx="432">
                  <c:v>-10</c:v>
                </c:pt>
                <c:pt idx="433">
                  <c:v>-10</c:v>
                </c:pt>
                <c:pt idx="434">
                  <c:v>-10</c:v>
                </c:pt>
                <c:pt idx="435">
                  <c:v>-10</c:v>
                </c:pt>
                <c:pt idx="436">
                  <c:v>-10</c:v>
                </c:pt>
                <c:pt idx="437">
                  <c:v>-10</c:v>
                </c:pt>
                <c:pt idx="438">
                  <c:v>-10</c:v>
                </c:pt>
                <c:pt idx="439">
                  <c:v>-10</c:v>
                </c:pt>
                <c:pt idx="440">
                  <c:v>-10</c:v>
                </c:pt>
                <c:pt idx="441">
                  <c:v>-10</c:v>
                </c:pt>
                <c:pt idx="442">
                  <c:v>-10</c:v>
                </c:pt>
                <c:pt idx="443">
                  <c:v>-10</c:v>
                </c:pt>
                <c:pt idx="444">
                  <c:v>-10</c:v>
                </c:pt>
                <c:pt idx="445">
                  <c:v>-10</c:v>
                </c:pt>
                <c:pt idx="446">
                  <c:v>-10</c:v>
                </c:pt>
                <c:pt idx="447">
                  <c:v>-10</c:v>
                </c:pt>
                <c:pt idx="448">
                  <c:v>-10</c:v>
                </c:pt>
                <c:pt idx="449">
                  <c:v>-10</c:v>
                </c:pt>
                <c:pt idx="450">
                  <c:v>-10</c:v>
                </c:pt>
                <c:pt idx="451">
                  <c:v>-10</c:v>
                </c:pt>
                <c:pt idx="452">
                  <c:v>-10</c:v>
                </c:pt>
                <c:pt idx="453">
                  <c:v>-10</c:v>
                </c:pt>
                <c:pt idx="454">
                  <c:v>-10</c:v>
                </c:pt>
                <c:pt idx="455">
                  <c:v>-10</c:v>
                </c:pt>
                <c:pt idx="456">
                  <c:v>-10</c:v>
                </c:pt>
                <c:pt idx="457">
                  <c:v>-10</c:v>
                </c:pt>
                <c:pt idx="458">
                  <c:v>-10</c:v>
                </c:pt>
                <c:pt idx="459">
                  <c:v>-10</c:v>
                </c:pt>
                <c:pt idx="460">
                  <c:v>-10</c:v>
                </c:pt>
                <c:pt idx="461">
                  <c:v>-10</c:v>
                </c:pt>
                <c:pt idx="462">
                  <c:v>-10</c:v>
                </c:pt>
                <c:pt idx="463">
                  <c:v>-10</c:v>
                </c:pt>
                <c:pt idx="464">
                  <c:v>-10</c:v>
                </c:pt>
                <c:pt idx="465">
                  <c:v>-10</c:v>
                </c:pt>
                <c:pt idx="466">
                  <c:v>-10</c:v>
                </c:pt>
                <c:pt idx="467">
                  <c:v>-10</c:v>
                </c:pt>
                <c:pt idx="468">
                  <c:v>-10</c:v>
                </c:pt>
                <c:pt idx="469">
                  <c:v>-10</c:v>
                </c:pt>
                <c:pt idx="470">
                  <c:v>-10</c:v>
                </c:pt>
                <c:pt idx="471">
                  <c:v>-10</c:v>
                </c:pt>
                <c:pt idx="472">
                  <c:v>-10</c:v>
                </c:pt>
                <c:pt idx="473">
                  <c:v>-10</c:v>
                </c:pt>
                <c:pt idx="474">
                  <c:v>-10</c:v>
                </c:pt>
                <c:pt idx="475">
                  <c:v>-10</c:v>
                </c:pt>
                <c:pt idx="476">
                  <c:v>-10</c:v>
                </c:pt>
                <c:pt idx="477">
                  <c:v>-10</c:v>
                </c:pt>
                <c:pt idx="478">
                  <c:v>-10</c:v>
                </c:pt>
                <c:pt idx="479">
                  <c:v>-10</c:v>
                </c:pt>
                <c:pt idx="480">
                  <c:v>-10</c:v>
                </c:pt>
                <c:pt idx="481">
                  <c:v>-10</c:v>
                </c:pt>
                <c:pt idx="482">
                  <c:v>-10</c:v>
                </c:pt>
                <c:pt idx="483">
                  <c:v>-10</c:v>
                </c:pt>
                <c:pt idx="484">
                  <c:v>-10</c:v>
                </c:pt>
                <c:pt idx="485">
                  <c:v>-10</c:v>
                </c:pt>
                <c:pt idx="486">
                  <c:v>-10</c:v>
                </c:pt>
                <c:pt idx="487">
                  <c:v>-10</c:v>
                </c:pt>
                <c:pt idx="488">
                  <c:v>-10</c:v>
                </c:pt>
                <c:pt idx="489">
                  <c:v>-10</c:v>
                </c:pt>
                <c:pt idx="490">
                  <c:v>-10</c:v>
                </c:pt>
                <c:pt idx="491">
                  <c:v>-10</c:v>
                </c:pt>
                <c:pt idx="492">
                  <c:v>-10</c:v>
                </c:pt>
                <c:pt idx="493">
                  <c:v>-10</c:v>
                </c:pt>
                <c:pt idx="494">
                  <c:v>-10</c:v>
                </c:pt>
                <c:pt idx="495">
                  <c:v>-10</c:v>
                </c:pt>
                <c:pt idx="496">
                  <c:v>-10</c:v>
                </c:pt>
                <c:pt idx="497">
                  <c:v>-10</c:v>
                </c:pt>
                <c:pt idx="498">
                  <c:v>-10</c:v>
                </c:pt>
                <c:pt idx="499">
                  <c:v>-10</c:v>
                </c:pt>
              </c:numCache>
            </c:numRef>
          </c:xVal>
          <c:yVal>
            <c:numRef>
              <c:f>Hoja1!$AP$1:$AP$500</c:f>
              <c:numCache>
                <c:formatCode>##0.0E+0</c:formatCode>
                <c:ptCount val="500"/>
                <c:pt idx="0">
                  <c:v>0.01</c:v>
                </c:pt>
                <c:pt idx="1">
                  <c:v>7.9012345679012348E-3</c:v>
                </c:pt>
                <c:pt idx="2">
                  <c:v>6.0493827160493828E-3</c:v>
                </c:pt>
                <c:pt idx="3">
                  <c:v>4.4444444444444444E-3</c:v>
                </c:pt>
                <c:pt idx="4">
                  <c:v>3.08641975308642E-3</c:v>
                </c:pt>
                <c:pt idx="5">
                  <c:v>1.9753086419753087E-3</c:v>
                </c:pt>
                <c:pt idx="6">
                  <c:v>1.1111111111111113E-3</c:v>
                </c:pt>
                <c:pt idx="7">
                  <c:v>4.9382716049382761E-4</c:v>
                </c:pt>
                <c:pt idx="8">
                  <c:v>1.2345679012345715E-4</c:v>
                </c:pt>
                <c:pt idx="9">
                  <c:v>4.9303806576313239E-34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F-405E-9527-347E111F0ECA}"/>
            </c:ext>
          </c:extLst>
        </c:ser>
        <c:ser>
          <c:idx val="5"/>
          <c:order val="1"/>
          <c:tx>
            <c:v>LPP</c:v>
          </c:tx>
          <c:spPr>
            <a:ln w="1905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5400" cap="rnd">
                <a:solidFill>
                  <a:srgbClr val="7030A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51-49A0-96BB-4D7616B55AF3}"/>
              </c:ext>
            </c:extLst>
          </c:dPt>
          <c:dLbls>
            <c:delete val="1"/>
          </c:dLbls>
          <c:xVal>
            <c:numRef>
              <c:f>(Hoja1!$AU$9,Hoja1!$AU$9,Hoja1!$AZ$9)</c:f>
              <c:numCache>
                <c:formatCode>0.00</c:formatCode>
                <c:ptCount val="3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</c:numCache>
            </c:numRef>
          </c:xVal>
          <c:yVal>
            <c:numRef>
              <c:f>(Hoja1!$AO$1,Hoja1!$AV$9,Hoja1!$AV$9)</c:f>
              <c:numCache>
                <c:formatCode>##0.0E+0</c:formatCode>
                <c:ptCount val="3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A-4E19-BF65-4018E82E39EF}"/>
            </c:ext>
          </c:extLst>
        </c:ser>
        <c:ser>
          <c:idx val="6"/>
          <c:order val="2"/>
          <c:tx>
            <c:v>LPP2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(Hoja1!$AZ$9,Hoja1!$AZ$10)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(Hoja1!$AV$9,Hoja1!$AV$9)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A-4E19-BF65-4018E82E39EF}"/>
            </c:ext>
          </c:extLst>
        </c:ser>
        <c:ser>
          <c:idx val="7"/>
          <c:order val="3"/>
          <c:tx>
            <c:v>LPP3</c:v>
          </c:tx>
          <c:spPr>
            <a:ln w="19050" cap="rnd">
              <a:solidFill>
                <a:srgbClr val="7030A0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(Hoja1!$AZ$9,Hoja1!$AZ$9)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(Hoja1!$AV$9,Hoja1!$AO$1)</c:f>
              <c:numCache>
                <c:formatCode>0.00</c:formatCode>
                <c:ptCount val="2"/>
                <c:pt idx="0" formatCode="##0.0E+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A-4E19-BF65-4018E82E39EF}"/>
            </c:ext>
          </c:extLst>
        </c:ser>
        <c:ser>
          <c:idx val="4"/>
          <c:order val="4"/>
          <c:tx>
            <c:v>LINEA DE POTENCIA</c:v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(Hoja1!$AO$1,Hoja1!$AZ$9)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(Hoja1!$AO$1,Hoja1!$BA$9)</c:f>
              <c:numCache>
                <c:formatCode>0.00E+00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A-4E19-BF65-4018E82E39EF}"/>
            </c:ext>
          </c:extLst>
        </c:ser>
        <c:ser>
          <c:idx val="2"/>
          <c:order val="5"/>
          <c:tx>
            <c:v>LQ2</c:v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(Hoja1!$AU$12,Hoja1!$AW$12)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(Hoja1!$AV$12,Hoja1!$AX$12)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3EC-465B-97CD-BC3161A714FD}"/>
            </c:ext>
          </c:extLst>
        </c:ser>
        <c:ser>
          <c:idx val="3"/>
          <c:order val="6"/>
          <c:tx>
            <c:v>LQ</c:v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 w="25400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delete val="1"/>
          </c:dLbls>
          <c:xVal>
            <c:numRef>
              <c:f>(Hoja1!$AU$11,Hoja1!$AW$11)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(Hoja1!$AV$11,Hoja1!$AX$11)</c:f>
              <c:numCache>
                <c:formatCode>##0.0E+0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30A-466B-A752-2D95EDD25626}"/>
            </c:ext>
          </c:extLst>
        </c:ser>
        <c:ser>
          <c:idx val="1"/>
          <c:order val="7"/>
          <c:tx>
            <c:v>PUNTO Q</c:v>
          </c:tx>
          <c:spPr>
            <a:ln w="19050" cap="rnd">
              <a:noFill/>
              <a:round/>
            </a:ln>
            <a:effectLst>
              <a:outerShdw blurRad="63500" sx="102000" sy="102000" algn="ctr" rotWithShape="0">
                <a:schemeClr val="accent4">
                  <a:alpha val="40000"/>
                </a:schemeClr>
              </a:outerShdw>
            </a:effectLst>
          </c:spPr>
          <c:marker>
            <c:symbol val="circle"/>
            <c:size val="12"/>
            <c:spPr>
              <a:solidFill>
                <a:schemeClr val="accent4"/>
              </a:solidFill>
              <a:ln w="25400">
                <a:solidFill>
                  <a:schemeClr val="accent4">
                    <a:lumMod val="50000"/>
                  </a:schemeClr>
                </a:solidFill>
              </a:ln>
              <a:effectLst>
                <a:outerShdw blurRad="63500" sx="102000" sy="102000" algn="ctr" rotWithShape="0">
                  <a:schemeClr val="accent4">
                    <a:alpha val="40000"/>
                  </a:schemeClr>
                </a:outerShdw>
              </a:effectLst>
            </c:spPr>
          </c:marker>
          <c:dLbls>
            <c:dLbl>
              <c:idx val="0"/>
              <c:dLblPos val="l"/>
              <c:showLegendKey val="0"/>
              <c:showVal val="1"/>
              <c:showCatName val="1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37-4621-AC44-257A32875186}"/>
                </c:ext>
              </c:extLst>
            </c:dLbl>
            <c:spPr>
              <a:solidFill>
                <a:schemeClr val="accent4"/>
              </a:solidFill>
              <a:ln w="31750" cap="rnd">
                <a:solidFill>
                  <a:schemeClr val="accent4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12700" dir="5400000" algn="t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Hoja1!$AU$9</c:f>
              <c:numCache>
                <c:formatCode>0.00</c:formatCode>
                <c:ptCount val="1"/>
                <c:pt idx="0">
                  <c:v>-10</c:v>
                </c:pt>
              </c:numCache>
            </c:numRef>
          </c:xVal>
          <c:yVal>
            <c:numRef>
              <c:f>Hoja1!$AV$9</c:f>
              <c:numCache>
                <c:formatCode>##0.0E+0</c:formatCode>
                <c:ptCount val="1"/>
                <c:pt idx="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2CC-4675-8525-D5A3F82E134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52660560"/>
        <c:axId val="1152664304"/>
        <c:extLst/>
      </c:scatterChart>
      <c:valAx>
        <c:axId val="115266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1" i="1"/>
                  <a:t>V</a:t>
                </a:r>
                <a:r>
                  <a:rPr lang="en-US" sz="800" b="1" i="1"/>
                  <a:t>GS                                                                                                                                                                            </a:t>
                </a:r>
                <a:r>
                  <a:rPr lang="en-US" sz="1200" b="1" i="1"/>
                  <a:t>V</a:t>
                </a:r>
                <a:r>
                  <a:rPr lang="en-US" sz="800" b="1" i="1"/>
                  <a:t>DS</a:t>
                </a:r>
              </a:p>
            </c:rich>
          </c:tx>
          <c:layout>
            <c:manualLayout>
              <c:xMode val="edge"/>
              <c:yMode val="edge"/>
              <c:x val="6.3431153955674988E-2"/>
              <c:y val="0.932505751595865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4304"/>
        <c:crossesAt val="0"/>
        <c:crossBetween val="midCat"/>
      </c:valAx>
      <c:valAx>
        <c:axId val="115266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200" b="1" i="1"/>
                  <a:t>I</a:t>
                </a:r>
                <a:r>
                  <a:rPr lang="en-US" sz="800" b="1" i="1"/>
                  <a:t>D</a:t>
                </a:r>
              </a:p>
            </c:rich>
          </c:tx>
          <c:layout>
            <c:manualLayout>
              <c:xMode val="edge"/>
              <c:yMode val="edge"/>
              <c:x val="0.95577525909692418"/>
              <c:y val="0.475943275452150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52660560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5.6244148724456572E-2"/>
          <c:y val="8.1664733966753333E-2"/>
          <c:w val="0.22416334143329505"/>
          <c:h val="0.12128918295859406"/>
        </c:manualLayout>
      </c:layout>
      <c:overlay val="0"/>
      <c:spPr>
        <a:solidFill>
          <a:schemeClr val="tx1">
            <a:alpha val="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1" u="none" strike="noStrike" kern="1200" baseline="0">
              <a:solidFill>
                <a:schemeClr val="bg2">
                  <a:lumMod val="10000"/>
                </a:schemeClr>
              </a:solidFill>
              <a:effectLst>
                <a:outerShdw blurRad="50800" dist="127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755924086205678E-2"/>
          <c:y val="3.4429427624611868E-2"/>
          <c:w val="0.84518714822219276"/>
          <c:h val="0.8607778047815372"/>
        </c:manualLayout>
      </c:layout>
      <c:scatterChart>
        <c:scatterStyle val="lineMarker"/>
        <c:varyColors val="0"/>
        <c:ser>
          <c:idx val="0"/>
          <c:order val="0"/>
          <c:tx>
            <c:v>GRAFICA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2540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Hoja1!$B$23:$B$26</c:f>
              <c:numCache>
                <c:formatCode>General</c:formatCode>
                <c:ptCount val="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-10</c:v>
                </c:pt>
              </c:numCache>
            </c:numRef>
          </c:xVal>
          <c:yVal>
            <c:numRef>
              <c:f>Hoja1!$D$23:$D$26</c:f>
              <c:numCache>
                <c:formatCode>##0.0E+0</c:formatCode>
                <c:ptCount val="4"/>
                <c:pt idx="0">
                  <c:v>0.01</c:v>
                </c:pt>
                <c:pt idx="1">
                  <c:v>5.0000000000000001E-3</c:v>
                </c:pt>
                <c:pt idx="2">
                  <c:v>2.5000000000000001E-3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3-47BE-BBAE-26F831F24FD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49127392"/>
        <c:axId val="1491311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LINEA Q</c:v>
                </c:tx>
                <c:spPr>
                  <a:ln w="19050" cap="rnd" cmpd="dbl">
                    <a:solidFill>
                      <a:schemeClr val="accent2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dPt>
                  <c:idx val="0"/>
                  <c:marker>
                    <c:symbol val="none"/>
                  </c:marker>
                  <c:bubble3D val="0"/>
                  <c:spPr>
                    <a:ln w="19050" cap="rnd" cmpd="dbl">
                      <a:solidFill>
                        <a:schemeClr val="accent2"/>
                      </a:solidFill>
                      <a:prstDash val="sysDot"/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A-C533-47BE-BBAE-26F831F24FD3}"/>
                    </c:ext>
                  </c:extLst>
                </c:dPt>
                <c:dLbls>
                  <c:delete val="1"/>
                </c:dLbls>
                <c:xVal>
                  <c:strRef>
                    <c:extLst>
                      <c:ext uri="{02D57815-91ED-43cb-92C2-25804820EDAC}">
                        <c15:formulaRef>
                          <c15:sqref>(Hoja1!$AU$1,Hoja1!$AS$2,Hoja1!$AS$2)</c15:sqref>
                        </c15:formulaRef>
                      </c:ext>
                    </c:extLst>
                    <c:strCache>
                      <c:ptCount val="3"/>
                      <c:pt idx="1">
                        <c:v>FIJA</c:v>
                      </c:pt>
                      <c:pt idx="2">
                        <c:v>FIJA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(Hoja1!$AT$2,Hoja1!$AT$2,Hoja1!$AU$1)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533-47BE-BBAE-26F831F24FD3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v>PUNTO Q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10"/>
                  <c:spPr>
                    <a:solidFill>
                      <a:schemeClr val="accent2"/>
                    </a:solidFill>
                    <a:ln w="19050">
                      <a:solidFill>
                        <a:schemeClr val="accent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06-C6E2-4F7B-8AB6-9D581CB8DE44}"/>
                      </c:ext>
                    </c:extLst>
                  </c:dLbl>
                  <c:spPr>
                    <a:solidFill>
                      <a:schemeClr val="accent2"/>
                    </a:solidFill>
                    <a:ln w="15875" cap="rnd">
                      <a:solidFill>
                        <a:schemeClr val="accent2">
                          <a:lumMod val="75000"/>
                        </a:schemeClr>
                      </a:solidFill>
                      <a:prstDash val="solid"/>
                      <a:round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600" b="1" i="0" u="none" strike="noStrike" kern="1200" baseline="0">
                          <a:solidFill>
                            <a:schemeClr val="bg1"/>
                          </a:solidFill>
                          <a:latin typeface="Arial" panose="020B0604020202020204" pitchFamily="34" charset="0"/>
                          <a:ea typeface="Cambria" panose="02040503050406030204" pitchFamily="18" charset="0"/>
                          <a:cs typeface="Arial" panose="020B0604020202020204" pitchFamily="34" charset="0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Hoja1!$AS$2</c15:sqref>
                        </c15:formulaRef>
                      </c:ext>
                    </c:extLst>
                    <c:strCache>
                      <c:ptCount val="1"/>
                      <c:pt idx="0">
                        <c:v>FIJA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Hoja1!$AT$2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E62-4868-813D-454A106DAF3B}"/>
                  </c:ext>
                </c:extLst>
              </c15:ser>
            </c15:filteredScatterSeries>
          </c:ext>
        </c:extLst>
      </c:scatterChart>
      <c:valAx>
        <c:axId val="14912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sz="1200" b="1" i="1">
                    <a:latin typeface="+mn-lt"/>
                  </a:rPr>
                  <a:t>V</a:t>
                </a:r>
                <a:r>
                  <a:rPr lang="en-US" sz="1000" b="1" i="1">
                    <a:latin typeface="+mn-lt"/>
                  </a:rPr>
                  <a:t>GS</a:t>
                </a:r>
                <a:endParaRPr lang="en-US" sz="1200" b="1" i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47818230579892623"/>
              <c:y val="0.93529048684853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31136"/>
        <c:crossesAt val="0"/>
        <c:crossBetween val="midCat"/>
      </c:valAx>
      <c:valAx>
        <c:axId val="149131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Cambria" panose="02040503050406030204" pitchFamily="18" charset="0"/>
                    <a:cs typeface="Arial" panose="020B0604020202020204" pitchFamily="34" charset="0"/>
                  </a:defRPr>
                </a:pPr>
                <a:r>
                  <a:rPr lang="en-US" sz="1200" b="1" i="1">
                    <a:latin typeface="+mn-lt"/>
                  </a:rPr>
                  <a:t>I</a:t>
                </a:r>
                <a:r>
                  <a:rPr lang="en-US" sz="1000" b="1" i="1">
                    <a:latin typeface="+mn-lt"/>
                  </a:rPr>
                  <a:t>D</a:t>
                </a:r>
                <a:endParaRPr lang="en-US" sz="1200" b="1" i="1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95011515069978025"/>
              <c:y val="0.479106328618593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Cambria" panose="02040503050406030204" pitchFamily="18" charset="0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#0.0E+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Cambria" panose="02040503050406030204" pitchFamily="18" charset="0"/>
                <a:cs typeface="Arial" panose="020B0604020202020204" pitchFamily="34" charset="0"/>
              </a:defRPr>
            </a:pPr>
            <a:endParaRPr lang="en-US"/>
          </a:p>
        </c:txPr>
        <c:crossAx val="149127392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latin typeface="Arial" panose="020B0604020202020204" pitchFamily="34" charset="0"/>
          <a:ea typeface="Cambria" panose="02040503050406030204" pitchFamily="18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eb.udi.edu.co/" TargetMode="External"/><Relationship Id="rId7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647698</xdr:colOff>
      <xdr:row>17</xdr:row>
      <xdr:rowOff>143505</xdr:rowOff>
    </xdr:from>
    <xdr:to>
      <xdr:col>14</xdr:col>
      <xdr:colOff>81492</xdr:colOff>
      <xdr:row>25</xdr:row>
      <xdr:rowOff>66705</xdr:rowOff>
    </xdr:to>
    <xdr:sp macro="" textlink="">
      <xdr:nvSpPr>
        <xdr:cNvPr id="23" name="Terminad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714998" y="3524880"/>
          <a:ext cx="4005794" cy="1447200"/>
        </a:xfrm>
        <a:prstGeom prst="flowChartTerminator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400" b="1" i="1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CALCULADORA</a:t>
          </a:r>
          <a:r>
            <a:rPr lang="en-US" sz="1400" b="1" i="1" baseline="0">
              <a:solidFill>
                <a:srgbClr val="FFFF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&amp; GRAFICADORA JFET </a:t>
          </a:r>
          <a:r>
            <a:rPr lang="en-US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| </a:t>
          </a:r>
          <a:r>
            <a:rPr lang="en-US" sz="1000" b="1" i="1" baseline="0">
              <a:solidFill>
                <a:schemeClr val="accen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v1.0</a:t>
          </a:r>
        </a:p>
        <a:p>
          <a:pPr algn="r"/>
          <a:r>
            <a:rPr lang="es-MX" sz="11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+</a:t>
          </a:r>
          <a:r>
            <a:rPr lang="es-MX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en-US" sz="11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Esta</a:t>
          </a:r>
          <a:r>
            <a:rPr lang="en-US" sz="11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calculadora fue realizada para el curso de "Electrónica 2" dirigido por el Ingeniero Javier León.</a:t>
          </a:r>
        </a:p>
        <a:p>
          <a:pPr algn="r"/>
          <a:endParaRPr lang="en-US" sz="1100" b="1" i="1" baseline="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r"/>
          <a:r>
            <a:rPr lang="en-US" sz="1200" b="1" i="1" baseline="0">
              <a:solidFill>
                <a:srgbClr val="FFA86D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Hecha por: Brayan Vaquez</a:t>
          </a:r>
          <a:endParaRPr lang="en-US" sz="1200" b="1" i="1">
            <a:solidFill>
              <a:srgbClr val="FFA86D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13</xdr:col>
      <xdr:colOff>26158</xdr:colOff>
      <xdr:row>18</xdr:row>
      <xdr:rowOff>48450</xdr:rowOff>
    </xdr:from>
    <xdr:to>
      <xdr:col>14</xdr:col>
      <xdr:colOff>511668</xdr:colOff>
      <xdr:row>24</xdr:row>
      <xdr:rowOff>150896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3458" y="3620325"/>
          <a:ext cx="1247510" cy="1245446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8</xdr:col>
      <xdr:colOff>644898</xdr:colOff>
      <xdr:row>17</xdr:row>
      <xdr:rowOff>134408</xdr:rowOff>
    </xdr:from>
    <xdr:to>
      <xdr:col>14</xdr:col>
      <xdr:colOff>605678</xdr:colOff>
      <xdr:row>25</xdr:row>
      <xdr:rowOff>58208</xdr:rowOff>
    </xdr:to>
    <xdr:sp macro="" textlink="">
      <xdr:nvSpPr>
        <xdr:cNvPr id="50" name="Terminador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5712198" y="3515783"/>
          <a:ext cx="4532780" cy="1447800"/>
        </a:xfrm>
        <a:prstGeom prst="flowChartTerminator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endParaRPr lang="en-US" sz="1100" b="1" i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11</xdr:col>
      <xdr:colOff>257174</xdr:colOff>
      <xdr:row>4</xdr:row>
      <xdr:rowOff>76200</xdr:rowOff>
    </xdr:from>
    <xdr:to>
      <xdr:col>13</xdr:col>
      <xdr:colOff>617762</xdr:colOff>
      <xdr:row>9</xdr:row>
      <xdr:rowOff>183698</xdr:rowOff>
    </xdr:to>
    <xdr:sp macro="" textlink="">
      <xdr:nvSpPr>
        <xdr:cNvPr id="49" name="Llamada con línea 2 (barra de énfasis)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flipH="1">
          <a:off x="7610474" y="923925"/>
          <a:ext cx="1884588" cy="1098098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48476"/>
            <a:gd name="adj6" fmla="val -56472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i="1">
              <a:latin typeface="+mn-lt"/>
            </a:rPr>
            <a:t>EL USUARIO PUEDE ESCOGER ENTRE LAS </a:t>
          </a:r>
          <a:r>
            <a:rPr lang="en-US" sz="1400" b="1" i="1">
              <a:solidFill>
                <a:srgbClr val="F97399"/>
              </a:solidFill>
              <a:latin typeface="+mn-lt"/>
            </a:rPr>
            <a:t>TRES POLARIZACIONES </a:t>
          </a:r>
          <a:r>
            <a:rPr lang="en-US" sz="1400" b="1" i="1">
              <a:latin typeface="+mn-lt"/>
            </a:rPr>
            <a:t>DISPONIBLES.</a:t>
          </a:r>
        </a:p>
      </xdr:txBody>
    </xdr:sp>
    <xdr:clientData/>
  </xdr:twoCellAnchor>
  <xdr:twoCellAnchor>
    <xdr:from>
      <xdr:col>6</xdr:col>
      <xdr:colOff>208501</xdr:colOff>
      <xdr:row>20</xdr:row>
      <xdr:rowOff>76199</xdr:rowOff>
    </xdr:from>
    <xdr:to>
      <xdr:col>8</xdr:col>
      <xdr:colOff>32061</xdr:colOff>
      <xdr:row>24</xdr:row>
      <xdr:rowOff>90486</xdr:rowOff>
    </xdr:to>
    <xdr:sp macro="" textlink="">
      <xdr:nvSpPr>
        <xdr:cNvPr id="48" name="Llamada con línea 2 (barra de énfasis)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3751801" y="4029074"/>
          <a:ext cx="1347560" cy="776287"/>
        </a:xfrm>
        <a:prstGeom prst="accentCallout2">
          <a:avLst>
            <a:gd name="adj1" fmla="val 18750"/>
            <a:gd name="adj2" fmla="val -8333"/>
            <a:gd name="adj3" fmla="val 18750"/>
            <a:gd name="adj4" fmla="val -30804"/>
            <a:gd name="adj5" fmla="val -28773"/>
            <a:gd name="adj6" fmla="val -59299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1" i="1">
              <a:latin typeface="+mn-lt"/>
            </a:rPr>
            <a:t>LA GRÁFICA PUEDE CAMBIAR ENTRE UN MODO "</a:t>
          </a:r>
          <a:r>
            <a:rPr lang="en-US" sz="1050" b="1" i="1">
              <a:solidFill>
                <a:schemeClr val="accent2"/>
              </a:solidFill>
              <a:latin typeface="+mn-lt"/>
            </a:rPr>
            <a:t>SIMPLE</a:t>
          </a:r>
          <a:r>
            <a:rPr lang="en-US" sz="1050" b="1" i="1">
              <a:latin typeface="+mn-lt"/>
            </a:rPr>
            <a:t>" Y "</a:t>
          </a:r>
          <a:r>
            <a:rPr lang="en-US" sz="1050" b="1" i="1">
              <a:solidFill>
                <a:srgbClr val="FFC000"/>
              </a:solidFill>
              <a:latin typeface="+mn-lt"/>
            </a:rPr>
            <a:t>COMPLETA</a:t>
          </a:r>
          <a:r>
            <a:rPr lang="en-US" sz="1050" b="1" i="1">
              <a:latin typeface="+mn-lt"/>
            </a:rPr>
            <a:t>".</a:t>
          </a:r>
        </a:p>
      </xdr:txBody>
    </xdr:sp>
    <xdr:clientData/>
  </xdr:twoCellAnchor>
  <xdr:twoCellAnchor>
    <xdr:from>
      <xdr:col>6</xdr:col>
      <xdr:colOff>226218</xdr:colOff>
      <xdr:row>11</xdr:row>
      <xdr:rowOff>157163</xdr:rowOff>
    </xdr:from>
    <xdr:to>
      <xdr:col>8</xdr:col>
      <xdr:colOff>349237</xdr:colOff>
      <xdr:row>17</xdr:row>
      <xdr:rowOff>104776</xdr:rowOff>
    </xdr:to>
    <xdr:sp macro="" textlink="">
      <xdr:nvSpPr>
        <xdr:cNvPr id="46" name="Llamada con línea 2 (barra de énfasis)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3769518" y="2386013"/>
          <a:ext cx="1647019" cy="1100138"/>
        </a:xfrm>
        <a:prstGeom prst="accentCallout2">
          <a:avLst>
            <a:gd name="adj1" fmla="val 18750"/>
            <a:gd name="adj2" fmla="val -8333"/>
            <a:gd name="adj3" fmla="val -7223"/>
            <a:gd name="adj4" fmla="val -23607"/>
            <a:gd name="adj5" fmla="val -6118"/>
            <a:gd name="adj6" fmla="val -114933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1" baseline="0">
              <a:latin typeface="+mn-lt"/>
            </a:rPr>
            <a:t>EL DATO DE COLOR </a:t>
          </a:r>
          <a:r>
            <a:rPr lang="en-US" sz="1200" b="1" i="1" baseline="0">
              <a:solidFill>
                <a:srgbClr val="FFFF00"/>
              </a:solidFill>
              <a:latin typeface="+mn-lt"/>
            </a:rPr>
            <a:t>AMARILLO</a:t>
          </a:r>
          <a:r>
            <a:rPr lang="en-US" sz="1200" b="1" i="1" baseline="0">
              <a:latin typeface="+mn-lt"/>
            </a:rPr>
            <a:t> REFLEJA LA CANTIDAD DE PUNTOS DE LA GRÁFICA EN MODO "</a:t>
          </a:r>
          <a:r>
            <a:rPr lang="en-US" sz="1200" b="1" i="1" baseline="0">
              <a:solidFill>
                <a:schemeClr val="accent2"/>
              </a:solidFill>
              <a:latin typeface="+mn-lt"/>
            </a:rPr>
            <a:t>COMPLETA</a:t>
          </a:r>
          <a:r>
            <a:rPr lang="en-US" sz="1200" b="1" i="1" baseline="0">
              <a:latin typeface="+mn-lt"/>
            </a:rPr>
            <a:t>".</a:t>
          </a:r>
          <a:endParaRPr lang="en-US" sz="1200" b="1" i="1">
            <a:latin typeface="+mn-lt"/>
          </a:endParaRPr>
        </a:p>
      </xdr:txBody>
    </xdr:sp>
    <xdr:clientData/>
  </xdr:twoCellAnchor>
  <xdr:twoCellAnchor>
    <xdr:from>
      <xdr:col>6</xdr:col>
      <xdr:colOff>250032</xdr:colOff>
      <xdr:row>3</xdr:row>
      <xdr:rowOff>104777</xdr:rowOff>
    </xdr:from>
    <xdr:to>
      <xdr:col>8</xdr:col>
      <xdr:colOff>504825</xdr:colOff>
      <xdr:row>8</xdr:row>
      <xdr:rowOff>171450</xdr:rowOff>
    </xdr:to>
    <xdr:sp macro="" textlink="">
      <xdr:nvSpPr>
        <xdr:cNvPr id="20" name="Llamada con línea 2 (barra de énfasis)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93332" y="752477"/>
          <a:ext cx="1778793" cy="1057273"/>
        </a:xfrm>
        <a:prstGeom prst="accentCallout2">
          <a:avLst>
            <a:gd name="adj1" fmla="val 18750"/>
            <a:gd name="adj2" fmla="val -8333"/>
            <a:gd name="adj3" fmla="val 18750"/>
            <a:gd name="adj4" fmla="val -16667"/>
            <a:gd name="adj5" fmla="val 40457"/>
            <a:gd name="adj6" fmla="val -65944"/>
          </a:avLst>
        </a:prstGeom>
        <a:solidFill>
          <a:schemeClr val="tx1">
            <a:lumMod val="85000"/>
            <a:lumOff val="15000"/>
            <a:alpha val="75000"/>
          </a:schemeClr>
        </a:solidFill>
        <a:ln w="50800" cap="flat" cmpd="sng" algn="ctr">
          <a:solidFill>
            <a:schemeClr val="tx1">
              <a:lumMod val="85000"/>
              <a:lumOff val="15000"/>
              <a:alpha val="0"/>
            </a:schemeClr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1">
              <a:latin typeface="+mn-lt"/>
            </a:rPr>
            <a:t>LOS</a:t>
          </a:r>
          <a:r>
            <a:rPr lang="en-US" sz="1200" b="1" i="1" baseline="0">
              <a:latin typeface="+mn-lt"/>
            </a:rPr>
            <a:t> DATOS DE LA TABLA QUE ESTÁN EN COLOR </a:t>
          </a:r>
          <a:r>
            <a:rPr lang="en-US" sz="1200" b="1" i="1" baseline="0">
              <a:solidFill>
                <a:srgbClr val="FFFF00"/>
              </a:solidFill>
              <a:latin typeface="+mn-lt"/>
            </a:rPr>
            <a:t>AMARILLO</a:t>
          </a:r>
          <a:r>
            <a:rPr lang="en-US" sz="1200" b="1" i="1" baseline="0">
              <a:latin typeface="+mn-lt"/>
            </a:rPr>
            <a:t> SE PUEDEN CAMBIAR A NECESIDAD DEL USUARIO.</a:t>
          </a:r>
          <a:endParaRPr lang="en-US" sz="1200" b="1" i="1">
            <a:latin typeface="+mn-lt"/>
          </a:endParaRPr>
        </a:p>
      </xdr:txBody>
    </xdr:sp>
    <xdr:clientData/>
  </xdr:twoCellAnchor>
  <xdr:twoCellAnchor editAs="oneCell">
    <xdr:from>
      <xdr:col>16</xdr:col>
      <xdr:colOff>616744</xdr:colOff>
      <xdr:row>19</xdr:row>
      <xdr:rowOff>154780</xdr:rowOff>
    </xdr:from>
    <xdr:to>
      <xdr:col>17</xdr:col>
      <xdr:colOff>328614</xdr:colOff>
      <xdr:row>22</xdr:row>
      <xdr:rowOff>57150</xdr:rowOff>
    </xdr:to>
    <xdr:pic macro="[0]!INFO2"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5694" y="3917155"/>
          <a:ext cx="473870" cy="473870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704313</xdr:colOff>
      <xdr:row>11</xdr:row>
      <xdr:rowOff>102864</xdr:rowOff>
    </xdr:from>
    <xdr:to>
      <xdr:col>4</xdr:col>
      <xdr:colOff>6982</xdr:colOff>
      <xdr:row>19</xdr:row>
      <xdr:rowOff>133582</xdr:rowOff>
    </xdr:to>
    <xdr:sp macro="" textlink="">
      <xdr:nvSpPr>
        <xdr:cNvPr id="34" name="Multiplica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>
          <a:off x="957381" y="2332685"/>
          <a:ext cx="1572722" cy="1585184"/>
        </a:xfrm>
        <a:prstGeom prst="mathMultiply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</xdr:colOff>
      <xdr:row>12</xdr:row>
      <xdr:rowOff>78109</xdr:rowOff>
    </xdr:from>
    <xdr:to>
      <xdr:col>5</xdr:col>
      <xdr:colOff>144780</xdr:colOff>
      <xdr:row>18</xdr:row>
      <xdr:rowOff>165740</xdr:rowOff>
    </xdr:to>
    <xdr:sp macro="" textlink="">
      <xdr:nvSpPr>
        <xdr:cNvPr id="33" name="Rectángulo redonde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>
          <a:off x="1121545" y="1438709"/>
          <a:ext cx="1237601" cy="3389251"/>
        </a:xfrm>
        <a:prstGeom prst="roundRect">
          <a:avLst/>
        </a:prstGeom>
        <a:solidFill>
          <a:schemeClr val="bg2">
            <a:lumMod val="1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237004</xdr:colOff>
      <xdr:row>5</xdr:row>
      <xdr:rowOff>104775</xdr:rowOff>
    </xdr:from>
    <xdr:to>
      <xdr:col>18</xdr:col>
      <xdr:colOff>180975</xdr:colOff>
      <xdr:row>14</xdr:row>
      <xdr:rowOff>57150</xdr:rowOff>
    </xdr:to>
    <xdr:sp macro="" textlink="">
      <xdr:nvSpPr>
        <xdr:cNvPr id="47" name="Multiplicar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10636063" y="1158128"/>
          <a:ext cx="1714500" cy="1722904"/>
        </a:xfrm>
        <a:prstGeom prst="mathMultiply">
          <a:avLst/>
        </a:prstGeom>
        <a:solidFill>
          <a:srgbClr val="FF0000">
            <a:alpha val="5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47707</xdr:colOff>
      <xdr:row>2</xdr:row>
      <xdr:rowOff>184897</xdr:rowOff>
    </xdr:from>
    <xdr:to>
      <xdr:col>18</xdr:col>
      <xdr:colOff>120545</xdr:colOff>
      <xdr:row>17</xdr:row>
      <xdr:rowOff>89647</xdr:rowOff>
    </xdr:to>
    <xdr:sp macro="" textlink="">
      <xdr:nvSpPr>
        <xdr:cNvPr id="45" name="Rectángulo redondead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0688493" y="633933"/>
          <a:ext cx="1596838" cy="2871107"/>
        </a:xfrm>
        <a:prstGeom prst="roundRect">
          <a:avLst/>
        </a:prstGeom>
        <a:solidFill>
          <a:schemeClr val="bg2">
            <a:lumMod val="10000"/>
            <a:alpha val="3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22296</xdr:colOff>
      <xdr:row>12</xdr:row>
      <xdr:rowOff>143171</xdr:rowOff>
    </xdr:from>
    <xdr:to>
      <xdr:col>5</xdr:col>
      <xdr:colOff>90151</xdr:colOff>
      <xdr:row>18</xdr:row>
      <xdr:rowOff>67077</xdr:rowOff>
    </xdr:to>
    <xdr:sp macro="[0]!COMPLETA" textlink="">
      <xdr:nvSpPr>
        <xdr:cNvPr id="35" name="Pantall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793946" y="2589191"/>
          <a:ext cx="1591855" cy="1066906"/>
        </a:xfrm>
        <a:prstGeom prst="flowChartDisplay">
          <a:avLst/>
        </a:prstGeom>
        <a:gradFill>
          <a:gsLst>
            <a:gs pos="0">
              <a:srgbClr val="FFA86D"/>
            </a:gs>
            <a:gs pos="100000">
              <a:srgbClr val="DB9E23"/>
            </a:gs>
          </a:gsLst>
          <a:lin ang="108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i="1"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COMPLETA</a:t>
          </a:r>
        </a:p>
      </xdr:txBody>
    </xdr:sp>
    <xdr:clientData/>
  </xdr:twoCellAnchor>
  <xdr:twoCellAnchor>
    <xdr:from>
      <xdr:col>0</xdr:col>
      <xdr:colOff>105027</xdr:colOff>
      <xdr:row>12</xdr:row>
      <xdr:rowOff>147389</xdr:rowOff>
    </xdr:from>
    <xdr:to>
      <xdr:col>2</xdr:col>
      <xdr:colOff>692717</xdr:colOff>
      <xdr:row>18</xdr:row>
      <xdr:rowOff>74021</xdr:rowOff>
    </xdr:to>
    <xdr:sp macro="[0]!SIMPLE" textlink="">
      <xdr:nvSpPr>
        <xdr:cNvPr id="44" name="Pantalla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flipH="1">
          <a:off x="105027" y="2581904"/>
          <a:ext cx="1596588" cy="1073392"/>
        </a:xfrm>
        <a:prstGeom prst="flowChartDisplay">
          <a:avLst/>
        </a:prstGeom>
        <a:gradFill flip="none" rotWithShape="1">
          <a:gsLst>
            <a:gs pos="100000">
              <a:schemeClr val="bg2">
                <a:lumMod val="10000"/>
              </a:schemeClr>
            </a:gs>
            <a:gs pos="0">
              <a:schemeClr val="tx1"/>
            </a:gs>
          </a:gsLst>
          <a:lin ang="0" scaled="1"/>
          <a:tileRect/>
        </a:gradFill>
        <a:ln w="50800">
          <a:gradFill flip="none" rotWithShape="1">
            <a:gsLst>
              <a:gs pos="0">
                <a:srgbClr val="FFA86D"/>
              </a:gs>
              <a:gs pos="100000">
                <a:srgbClr val="DB9E23"/>
              </a:gs>
            </a:gsLst>
            <a:lin ang="0" scaled="1"/>
            <a:tileRect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SIMPLE</a:t>
          </a:r>
        </a:p>
      </xdr:txBody>
    </xdr:sp>
    <xdr:clientData/>
  </xdr:twoCellAnchor>
  <xdr:twoCellAnchor>
    <xdr:from>
      <xdr:col>16</xdr:col>
      <xdr:colOff>552060</xdr:colOff>
      <xdr:row>19</xdr:row>
      <xdr:rowOff>91172</xdr:rowOff>
    </xdr:from>
    <xdr:to>
      <xdr:col>17</xdr:col>
      <xdr:colOff>390135</xdr:colOff>
      <xdr:row>22</xdr:row>
      <xdr:rowOff>119747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01010" y="3853547"/>
          <a:ext cx="600075" cy="600075"/>
        </a:xfrm>
        <a:prstGeom prst="ellipse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</xdr:colOff>
      <xdr:row>1</xdr:row>
      <xdr:rowOff>28574</xdr:rowOff>
    </xdr:from>
    <xdr:to>
      <xdr:col>18</xdr:col>
      <xdr:colOff>171672</xdr:colOff>
      <xdr:row>18</xdr:row>
      <xdr:rowOff>66674</xdr:rowOff>
    </xdr:to>
    <xdr:sp macro="" textlink="">
      <xdr:nvSpPr>
        <xdr:cNvPr id="9" name="Redondear rectángulo de esquina diagona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9835449" y="1063810"/>
          <a:ext cx="3394001" cy="1700100"/>
        </a:xfrm>
        <a:prstGeom prst="round2Diag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133351</xdr:colOff>
      <xdr:row>0</xdr:row>
      <xdr:rowOff>108453</xdr:rowOff>
    </xdr:from>
    <xdr:to>
      <xdr:col>18</xdr:col>
      <xdr:colOff>285751</xdr:colOff>
      <xdr:row>2</xdr:row>
      <xdr:rowOff>75446</xdr:rowOff>
    </xdr:to>
    <xdr:sp macro="" textlink="">
      <xdr:nvSpPr>
        <xdr:cNvPr id="4" name="Recortar rectángulo de esquina diagon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534651" y="108453"/>
          <a:ext cx="1924050" cy="414668"/>
        </a:xfrm>
        <a:prstGeom prst="snip2Diag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bg1"/>
              </a:solidFill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POLARIZACIÓN</a:t>
          </a:r>
        </a:p>
      </xdr:txBody>
    </xdr:sp>
    <xdr:clientData/>
  </xdr:twoCellAnchor>
  <xdr:twoCellAnchor>
    <xdr:from>
      <xdr:col>0</xdr:col>
      <xdr:colOff>224519</xdr:colOff>
      <xdr:row>19</xdr:row>
      <xdr:rowOff>110518</xdr:rowOff>
    </xdr:from>
    <xdr:to>
      <xdr:col>5</xdr:col>
      <xdr:colOff>27215</xdr:colOff>
      <xdr:row>20</xdr:row>
      <xdr:rowOff>171373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4519" y="3872893"/>
          <a:ext cx="3098346" cy="251355"/>
        </a:xfrm>
        <a:prstGeom prst="rect">
          <a:avLst/>
        </a:prstGeom>
        <a:gradFill flip="none" rotWithShape="1">
          <a:gsLst>
            <a:gs pos="0">
              <a:srgbClr val="4472C4"/>
            </a:gs>
            <a:gs pos="100000">
              <a:srgbClr val="203864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TABLA</a:t>
          </a:r>
          <a:r>
            <a:rPr lang="en-US" sz="12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DE SHOCKLEY</a:t>
          </a:r>
          <a:endParaRPr lang="en-US" sz="1200" b="1" i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0</xdr:col>
      <xdr:colOff>209551</xdr:colOff>
      <xdr:row>10</xdr:row>
      <xdr:rowOff>171450</xdr:rowOff>
    </xdr:from>
    <xdr:to>
      <xdr:col>2</xdr:col>
      <xdr:colOff>40823</xdr:colOff>
      <xdr:row>12</xdr:row>
      <xdr:rowOff>32280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209551" y="2215923"/>
          <a:ext cx="841602" cy="252036"/>
        </a:xfrm>
        <a:prstGeom prst="rect">
          <a:avLst/>
        </a:prstGeom>
        <a:gradFill flip="none" rotWithShape="1">
          <a:gsLst>
            <a:gs pos="0">
              <a:srgbClr val="DA2E2E"/>
            </a:gs>
            <a:gs pos="100000">
              <a:srgbClr val="B73127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RESOLUCIÓN</a:t>
          </a:r>
        </a:p>
      </xdr:txBody>
    </xdr:sp>
    <xdr:clientData/>
  </xdr:twoCellAnchor>
  <xdr:twoCellAnchor>
    <xdr:from>
      <xdr:col>0</xdr:col>
      <xdr:colOff>215354</xdr:colOff>
      <xdr:row>0</xdr:row>
      <xdr:rowOff>107901</xdr:rowOff>
    </xdr:from>
    <xdr:to>
      <xdr:col>5</xdr:col>
      <xdr:colOff>33485</xdr:colOff>
      <xdr:row>1</xdr:row>
      <xdr:rowOff>204639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15354" y="107901"/>
          <a:ext cx="3113781" cy="287238"/>
        </a:xfrm>
        <a:prstGeom prst="rect">
          <a:avLst/>
        </a:prstGeom>
        <a:gradFill flip="none" rotWithShape="1">
          <a:gsLst>
            <a:gs pos="0">
              <a:srgbClr val="4673C4"/>
            </a:gs>
            <a:gs pos="100000">
              <a:srgbClr val="203864"/>
            </a:gs>
          </a:gsLst>
          <a:lin ang="2700000" scaled="1"/>
          <a:tileRect/>
        </a:gradFill>
        <a:ln w="9525">
          <a:noFill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TABLA DE DATOS</a:t>
          </a:r>
        </a:p>
      </xdr:txBody>
    </xdr:sp>
    <xdr:clientData/>
  </xdr:twoCellAnchor>
  <xdr:twoCellAnchor>
    <xdr:from>
      <xdr:col>16</xdr:col>
      <xdr:colOff>391471</xdr:colOff>
      <xdr:row>23</xdr:row>
      <xdr:rowOff>107287</xdr:rowOff>
    </xdr:from>
    <xdr:to>
      <xdr:col>17</xdr:col>
      <xdr:colOff>541866</xdr:colOff>
      <xdr:row>26</xdr:row>
      <xdr:rowOff>45249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044108" y="4630126"/>
          <a:ext cx="912395" cy="509462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501975</xdr:colOff>
      <xdr:row>24</xdr:row>
      <xdr:rowOff>39852</xdr:rowOff>
    </xdr:from>
    <xdr:to>
      <xdr:col>17</xdr:col>
      <xdr:colOff>446004</xdr:colOff>
      <xdr:row>25</xdr:row>
      <xdr:rowOff>120151</xdr:rowOff>
    </xdr:to>
    <xdr:pic>
      <xdr:nvPicPr>
        <xdr:cNvPr id="11" name="Imagen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4612" y="4753191"/>
          <a:ext cx="706029" cy="270799"/>
        </a:xfrm>
        <a:prstGeom prst="rect">
          <a:avLst/>
        </a:prstGeom>
        <a:noFill/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76200</xdr:colOff>
      <xdr:row>28</xdr:row>
      <xdr:rowOff>19050</xdr:rowOff>
    </xdr:from>
    <xdr:to>
      <xdr:col>13</xdr:col>
      <xdr:colOff>152400</xdr:colOff>
      <xdr:row>29</xdr:row>
      <xdr:rowOff>180975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619500" y="5495925"/>
          <a:ext cx="5410200" cy="352425"/>
        </a:xfrm>
        <a:prstGeom prst="rect">
          <a:avLst/>
        </a:prstGeom>
        <a:gradFill flip="none" rotWithShape="1">
          <a:gsLst>
            <a:gs pos="0">
              <a:schemeClr val="tx1">
                <a:lumMod val="75000"/>
                <a:lumOff val="25000"/>
              </a:schemeClr>
            </a:gs>
            <a:gs pos="100000">
              <a:schemeClr val="tx1">
                <a:lumMod val="95000"/>
                <a:lumOff val="5000"/>
              </a:schemeClr>
            </a:gs>
          </a:gsLst>
          <a:lin ang="27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*LA INTERFAZ ESTA</a:t>
          </a:r>
          <a:r>
            <a:rPr lang="en-US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 DISEÑADA PARA UNA RESOLUCIÓN 1360 </a:t>
          </a:r>
          <a:r>
            <a:rPr lang="es-MX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× </a:t>
          </a:r>
          <a:r>
            <a:rPr lang="en-US" sz="1400" b="1" i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768</a:t>
          </a:r>
          <a:r>
            <a:rPr lang="en-US" sz="14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*</a:t>
          </a:r>
        </a:p>
      </xdr:txBody>
    </xdr:sp>
    <xdr:clientData/>
  </xdr:twoCellAnchor>
  <xdr:twoCellAnchor>
    <xdr:from>
      <xdr:col>5</xdr:col>
      <xdr:colOff>238125</xdr:colOff>
      <xdr:row>2</xdr:row>
      <xdr:rowOff>47626</xdr:rowOff>
    </xdr:from>
    <xdr:to>
      <xdr:col>14</xdr:col>
      <xdr:colOff>714373</xdr:colOff>
      <xdr:row>26</xdr:row>
      <xdr:rowOff>28576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161925</xdr:colOff>
      <xdr:row>0</xdr:row>
      <xdr:rowOff>114300</xdr:rowOff>
    </xdr:from>
    <xdr:to>
      <xdr:col>15</xdr:col>
      <xdr:colOff>33336</xdr:colOff>
      <xdr:row>2</xdr:row>
      <xdr:rowOff>38101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457575" y="114300"/>
          <a:ext cx="6977061" cy="371476"/>
        </a:xfrm>
        <a:prstGeom prst="rect">
          <a:avLst/>
        </a:prstGeom>
        <a:gradFill flip="none" rotWithShape="1">
          <a:gsLst>
            <a:gs pos="0">
              <a:srgbClr val="FFA86D"/>
            </a:gs>
            <a:gs pos="100000">
              <a:srgbClr val="DB9E23"/>
            </a:gs>
          </a:gsLst>
          <a:lin ang="2700000" scaled="1"/>
          <a:tileRect/>
        </a:gradFill>
        <a:ln w="952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800" b="1" i="1">
              <a:solidFill>
                <a:schemeClr val="lt1">
                  <a:lumMod val="100000"/>
                </a:schemeClr>
              </a:solidFill>
              <a:effectLst>
                <a:outerShdw blurRad="50800" dist="38100" dir="5400000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GRÁFICA JFET: SIMPLE</a:t>
          </a:r>
        </a:p>
      </xdr:txBody>
    </xdr:sp>
    <xdr:clientData/>
  </xdr:twoCellAnchor>
  <xdr:twoCellAnchor>
    <xdr:from>
      <xdr:col>16</xdr:col>
      <xdr:colOff>97950</xdr:colOff>
      <xdr:row>8</xdr:row>
      <xdr:rowOff>8241</xdr:rowOff>
    </xdr:from>
    <xdr:to>
      <xdr:col>18</xdr:col>
      <xdr:colOff>65297</xdr:colOff>
      <xdr:row>11</xdr:row>
      <xdr:rowOff>120862</xdr:rowOff>
    </xdr:to>
    <xdr:sp macro="[0]!PQAUTO" textlink="">
      <xdr:nvSpPr>
        <xdr:cNvPr id="38" name="Rectángulo redondead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0740884" y="1647544"/>
          <a:ext cx="1491347" cy="704173"/>
        </a:xfrm>
        <a:prstGeom prst="round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 w="25400" cmpd="dbl">
          <a:noFill/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  <a:endParaRPr lang="en-US" sz="1400" b="1" i="1" u="none" cap="none" spc="0">
            <a:ln w="10160">
              <a:noFill/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16</xdr:col>
      <xdr:colOff>100263</xdr:colOff>
      <xdr:row>12</xdr:row>
      <xdr:rowOff>136224</xdr:rowOff>
    </xdr:from>
    <xdr:to>
      <xdr:col>18</xdr:col>
      <xdr:colOff>62916</xdr:colOff>
      <xdr:row>16</xdr:row>
      <xdr:rowOff>81196</xdr:rowOff>
    </xdr:to>
    <xdr:sp macro="[0]!PQDIVISOR" textlink="">
      <xdr:nvSpPr>
        <xdr:cNvPr id="39" name="Rectángulo redondead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750945" y="2557883"/>
          <a:ext cx="1486653" cy="706972"/>
        </a:xfrm>
        <a:prstGeom prst="roundRect">
          <a:avLst/>
        </a:prstGeom>
        <a:gradFill flip="none" rotWithShape="1">
          <a:gsLst>
            <a:gs pos="0">
              <a:srgbClr val="FFA86D"/>
            </a:gs>
            <a:gs pos="100000">
              <a:srgbClr val="FF4585"/>
            </a:gs>
          </a:gsLst>
          <a:lin ang="2700000" scaled="1"/>
          <a:tileRect/>
        </a:gradFill>
        <a:ln w="25400" cmpd="dbl">
          <a:noFill/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16</xdr:col>
      <xdr:colOff>99782</xdr:colOff>
      <xdr:row>3</xdr:row>
      <xdr:rowOff>83332</xdr:rowOff>
    </xdr:from>
    <xdr:to>
      <xdr:col>18</xdr:col>
      <xdr:colOff>67298</xdr:colOff>
      <xdr:row>6</xdr:row>
      <xdr:rowOff>187993</xdr:rowOff>
    </xdr:to>
    <xdr:sp macro="[0]!PQFIJA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55876" y="738176"/>
          <a:ext cx="1491516" cy="711880"/>
        </a:xfrm>
        <a:prstGeom prst="roundRect">
          <a:avLst/>
        </a:prstGeom>
        <a:gradFill flip="none" rotWithShape="1">
          <a:gsLst>
            <a:gs pos="100000">
              <a:srgbClr val="FF4585"/>
            </a:gs>
            <a:gs pos="0">
              <a:srgbClr val="FFA86D"/>
            </a:gs>
          </a:gsLst>
          <a:lin ang="2700000" scaled="1"/>
          <a:tileRect/>
        </a:gradFill>
        <a:ln w="25400" cap="rnd" cmpd="dbl">
          <a:noFill/>
          <a:prstDash val="solid"/>
          <a:round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6</xdr:col>
      <xdr:colOff>0</xdr:colOff>
      <xdr:row>2</xdr:row>
      <xdr:rowOff>114299</xdr:rowOff>
    </xdr:from>
    <xdr:to>
      <xdr:col>14</xdr:col>
      <xdr:colOff>697706</xdr:colOff>
      <xdr:row>26</xdr:row>
      <xdr:rowOff>16668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106766</xdr:colOff>
      <xdr:row>12</xdr:row>
      <xdr:rowOff>143650</xdr:rowOff>
    </xdr:from>
    <xdr:to>
      <xdr:col>2</xdr:col>
      <xdr:colOff>694456</xdr:colOff>
      <xdr:row>18</xdr:row>
      <xdr:rowOff>70908</xdr:rowOff>
    </xdr:to>
    <xdr:sp macro="[0]!SIMPLE" textlink="">
      <xdr:nvSpPr>
        <xdr:cNvPr id="41" name="Pantalla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flipH="1">
          <a:off x="106766" y="2589670"/>
          <a:ext cx="1597340" cy="1070258"/>
        </a:xfrm>
        <a:prstGeom prst="flowChartDisplay">
          <a:avLst/>
        </a:prstGeom>
        <a:gradFill flip="none" rotWithShape="1">
          <a:gsLst>
            <a:gs pos="0">
              <a:srgbClr val="FFA86D"/>
            </a:gs>
            <a:gs pos="100000">
              <a:srgbClr val="DB9E23"/>
            </a:gs>
          </a:gsLst>
          <a:lin ang="0" scaled="1"/>
          <a:tileRect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SIMPLE</a:t>
          </a:r>
        </a:p>
      </xdr:txBody>
    </xdr:sp>
    <xdr:clientData/>
  </xdr:twoCellAnchor>
  <xdr:twoCellAnchor>
    <xdr:from>
      <xdr:col>3</xdr:col>
      <xdr:colOff>18924</xdr:colOff>
      <xdr:row>12</xdr:row>
      <xdr:rowOff>145886</xdr:rowOff>
    </xdr:from>
    <xdr:to>
      <xdr:col>5</xdr:col>
      <xdr:colOff>86779</xdr:colOff>
      <xdr:row>18</xdr:row>
      <xdr:rowOff>69792</xdr:rowOff>
    </xdr:to>
    <xdr:sp macro="[0]!COMPLETA" textlink="">
      <xdr:nvSpPr>
        <xdr:cNvPr id="43" name="Pantalla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789195" y="2580401"/>
          <a:ext cx="1590602" cy="1070666"/>
        </a:xfrm>
        <a:prstGeom prst="flowChartDisplay">
          <a:avLst/>
        </a:prstGeom>
        <a:gradFill>
          <a:gsLst>
            <a:gs pos="100000">
              <a:schemeClr val="bg2">
                <a:lumMod val="10000"/>
              </a:schemeClr>
            </a:gs>
            <a:gs pos="0">
              <a:schemeClr val="tx1"/>
            </a:gs>
          </a:gsLst>
          <a:lin ang="0" scaled="1"/>
        </a:gradFill>
        <a:ln w="50800">
          <a:gradFill flip="none" rotWithShape="1">
            <a:gsLst>
              <a:gs pos="0">
                <a:srgbClr val="FFA86D"/>
              </a:gs>
              <a:gs pos="100000">
                <a:srgbClr val="DB9E23"/>
              </a:gs>
            </a:gsLst>
            <a:lin ang="10800000" scaled="1"/>
            <a:tileRect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i="1">
              <a:effectLst>
                <a:outerShdw blurRad="50800" dist="50800" dir="5400000" algn="t" rotWithShape="0">
                  <a:prstClr val="black">
                    <a:alpha val="40000"/>
                  </a:prstClr>
                </a:outerShdw>
              </a:effectLst>
              <a:latin typeface="+mn-lt"/>
            </a:rPr>
            <a:t>COMPLETA</a:t>
          </a:r>
        </a:p>
      </xdr:txBody>
    </xdr:sp>
    <xdr:clientData/>
  </xdr:twoCellAnchor>
  <xdr:twoCellAnchor>
    <xdr:from>
      <xdr:col>16</xdr:col>
      <xdr:colOff>116947</xdr:colOff>
      <xdr:row>3</xdr:row>
      <xdr:rowOff>104903</xdr:rowOff>
    </xdr:from>
    <xdr:to>
      <xdr:col>18</xdr:col>
      <xdr:colOff>50224</xdr:colOff>
      <xdr:row>6</xdr:row>
      <xdr:rowOff>166858</xdr:rowOff>
    </xdr:to>
    <xdr:sp macro="[0]!PQFIJA" textlink="">
      <xdr:nvSpPr>
        <xdr:cNvPr id="30" name="Rectángulo redondead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10751423" y="754093"/>
          <a:ext cx="1455149" cy="660593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ap="rnd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  <a:round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ea typeface="Cambria" panose="02040503050406030204" pitchFamily="18" charset="0"/>
              <a:cs typeface="Arial" panose="020B0604020202020204" pitchFamily="34" charset="0"/>
            </a:rPr>
            <a:t>FIJA</a:t>
          </a:r>
        </a:p>
      </xdr:txBody>
    </xdr:sp>
    <xdr:clientData/>
  </xdr:twoCellAnchor>
  <xdr:twoCellAnchor>
    <xdr:from>
      <xdr:col>16</xdr:col>
      <xdr:colOff>111621</xdr:colOff>
      <xdr:row>8</xdr:row>
      <xdr:rowOff>24803</xdr:rowOff>
    </xdr:from>
    <xdr:to>
      <xdr:col>18</xdr:col>
      <xdr:colOff>47129</xdr:colOff>
      <xdr:row>11</xdr:row>
      <xdr:rowOff>101698</xdr:rowOff>
    </xdr:to>
    <xdr:sp macro="[0]!PQAUT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55312" y="1669354"/>
          <a:ext cx="1458516" cy="669727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 u="none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AUTOPOLARIZADA</a:t>
          </a:r>
        </a:p>
      </xdr:txBody>
    </xdr:sp>
    <xdr:clientData/>
  </xdr:twoCellAnchor>
  <xdr:twoCellAnchor>
    <xdr:from>
      <xdr:col>16</xdr:col>
      <xdr:colOff>118341</xdr:colOff>
      <xdr:row>12</xdr:row>
      <xdr:rowOff>156680</xdr:rowOff>
    </xdr:from>
    <xdr:to>
      <xdr:col>18</xdr:col>
      <xdr:colOff>40409</xdr:colOff>
      <xdr:row>16</xdr:row>
      <xdr:rowOff>58119</xdr:rowOff>
    </xdr:to>
    <xdr:sp macro="[0]!PQDIVISOR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769023" y="2578339"/>
          <a:ext cx="1446068" cy="663439"/>
        </a:xfrm>
        <a:prstGeom prst="roundRect">
          <a:avLst/>
        </a:prstGeom>
        <a:gradFill>
          <a:gsLst>
            <a:gs pos="0">
              <a:schemeClr val="bg2">
                <a:lumMod val="10000"/>
              </a:schemeClr>
            </a:gs>
            <a:gs pos="100000">
              <a:schemeClr val="tx1"/>
            </a:gs>
          </a:gsLst>
          <a:lin ang="2700000" scaled="1"/>
        </a:gradFill>
        <a:ln w="38100" cmpd="sng">
          <a:gradFill flip="none" rotWithShape="1">
            <a:gsLst>
              <a:gs pos="0">
                <a:srgbClr val="FFA86D"/>
              </a:gs>
              <a:gs pos="100000">
                <a:srgbClr val="FF4585"/>
              </a:gs>
            </a:gsLst>
            <a:lin ang="2700000" scaled="1"/>
            <a:tileRect/>
          </a:gradFill>
          <a:prstDash val="solid"/>
        </a:ln>
        <a:effectLst>
          <a:outerShdw blurRad="1016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i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DIVISOR VOLTAJE</a:t>
          </a:r>
        </a:p>
      </xdr:txBody>
    </xdr:sp>
    <xdr:clientData/>
  </xdr:twoCellAnchor>
  <xdr:twoCellAnchor>
    <xdr:from>
      <xdr:col>16</xdr:col>
      <xdr:colOff>47770</xdr:colOff>
      <xdr:row>2</xdr:row>
      <xdr:rowOff>183989</xdr:rowOff>
    </xdr:from>
    <xdr:to>
      <xdr:col>18</xdr:col>
      <xdr:colOff>120608</xdr:colOff>
      <xdr:row>17</xdr:row>
      <xdr:rowOff>88739</xdr:rowOff>
    </xdr:to>
    <xdr:sp macro="" textlink="">
      <xdr:nvSpPr>
        <xdr:cNvPr id="40" name="Rectángulo redondead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0696720" y="631664"/>
          <a:ext cx="1596838" cy="2838450"/>
        </a:xfrm>
        <a:prstGeom prst="roundRect">
          <a:avLst/>
        </a:prstGeom>
        <a:solidFill>
          <a:schemeClr val="bg2">
            <a:lumMod val="10000"/>
            <a:alpha val="3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235105</xdr:colOff>
      <xdr:row>5</xdr:row>
      <xdr:rowOff>103867</xdr:rowOff>
    </xdr:from>
    <xdr:to>
      <xdr:col>18</xdr:col>
      <xdr:colOff>179076</xdr:colOff>
      <xdr:row>14</xdr:row>
      <xdr:rowOff>56242</xdr:rowOff>
    </xdr:to>
    <xdr:sp macro="" textlink="">
      <xdr:nvSpPr>
        <xdr:cNvPr id="42" name="Multiplica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0636405" y="1151617"/>
          <a:ext cx="1715621" cy="1714500"/>
        </a:xfrm>
        <a:prstGeom prst="mathMultiply">
          <a:avLst/>
        </a:prstGeom>
        <a:solidFill>
          <a:srgbClr val="FF0000">
            <a:alpha val="55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616744</xdr:colOff>
      <xdr:row>19</xdr:row>
      <xdr:rowOff>154910</xdr:rowOff>
    </xdr:from>
    <xdr:to>
      <xdr:col>17</xdr:col>
      <xdr:colOff>328149</xdr:colOff>
      <xdr:row>22</xdr:row>
      <xdr:rowOff>58512</xdr:rowOff>
    </xdr:to>
    <xdr:pic macro="[0]!INFO1"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5694" y="3917285"/>
          <a:ext cx="473405" cy="475102"/>
        </a:xfrm>
        <a:prstGeom prst="rect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E505"/>
  <sheetViews>
    <sheetView showGridLines="0" tabSelected="1" zoomScaleNormal="100" zoomScaleSheetLayoutView="10" workbookViewId="0"/>
  </sheetViews>
  <sheetFormatPr baseColWidth="10" defaultRowHeight="15" x14ac:dyDescent="0.25"/>
  <cols>
    <col min="1" max="1" width="3.7109375" customWidth="1"/>
    <col min="6" max="6" width="3.7109375" customWidth="1"/>
    <col min="16" max="16" width="3.7109375" customWidth="1"/>
    <col min="31" max="32" width="11.85546875" bestFit="1" customWidth="1"/>
    <col min="38" max="38" width="12" bestFit="1" customWidth="1"/>
    <col min="40" max="40" width="13" bestFit="1" customWidth="1"/>
    <col min="44" max="44" width="12" bestFit="1" customWidth="1"/>
  </cols>
  <sheetData>
    <row r="1" spans="1:57" x14ac:dyDescent="0.25">
      <c r="A1" s="11"/>
      <c r="B1" s="11"/>
      <c r="C1" s="11"/>
      <c r="D1" s="11"/>
      <c r="E1" s="11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1"/>
      <c r="U1" s="11"/>
      <c r="V1" s="11"/>
      <c r="W1" s="11"/>
      <c r="X1" s="11"/>
      <c r="Y1" s="11"/>
      <c r="Z1" s="11"/>
      <c r="AA1" s="100"/>
      <c r="AB1" s="100"/>
      <c r="AC1" s="11"/>
      <c r="AD1" s="11"/>
      <c r="AE1" s="11"/>
      <c r="AF1" s="11"/>
      <c r="AG1" s="11"/>
      <c r="AH1" s="11"/>
      <c r="AI1" s="11"/>
      <c r="AJ1" s="11"/>
      <c r="AK1" s="11"/>
      <c r="AL1" s="52">
        <f>IF(C12&lt;0,-C12,C12)</f>
        <v>10</v>
      </c>
      <c r="AM1" s="53">
        <f>IF(AL1&lt;2,1,AL1-1)</f>
        <v>9</v>
      </c>
      <c r="AN1" s="53">
        <f>IF(AM1&gt;499,499,AM1)</f>
        <v>9</v>
      </c>
      <c r="AO1" s="77">
        <v>0</v>
      </c>
      <c r="AP1" s="54">
        <f>AR1*(1-(AO1/AQ1))^2</f>
        <v>0.01</v>
      </c>
      <c r="AQ1" s="77">
        <f>IF(C4&gt;0,-C4,C4)</f>
        <v>-10</v>
      </c>
      <c r="AR1" s="55">
        <f>IF(C3&lt;0,-C3,C3)</f>
        <v>0.01</v>
      </c>
      <c r="AS1" s="103" t="s">
        <v>13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4"/>
      <c r="BE1" s="6"/>
    </row>
    <row r="2" spans="1:57" ht="20.25" x14ac:dyDescent="0.25">
      <c r="A2" s="11"/>
      <c r="B2" s="87"/>
      <c r="C2" s="101"/>
      <c r="D2" s="101"/>
      <c r="E2" s="88"/>
      <c r="F2" s="12"/>
      <c r="G2" s="79"/>
      <c r="H2" s="79"/>
      <c r="I2" s="79"/>
      <c r="J2" s="79"/>
      <c r="K2" s="79"/>
      <c r="L2" s="79"/>
      <c r="M2" s="79"/>
      <c r="N2" s="79"/>
      <c r="O2" s="79"/>
      <c r="P2" s="12"/>
      <c r="Q2" s="13"/>
      <c r="R2" s="13"/>
      <c r="S2" s="89"/>
      <c r="T2" s="11"/>
      <c r="U2" s="11"/>
      <c r="V2" s="11"/>
      <c r="W2" s="11"/>
      <c r="X2" s="11"/>
      <c r="Y2" s="11"/>
      <c r="Z2" s="11"/>
      <c r="AA2" s="100"/>
      <c r="AB2" s="100"/>
      <c r="AC2" s="11"/>
      <c r="AD2" s="11"/>
      <c r="AE2" s="11"/>
      <c r="AF2" s="11"/>
      <c r="AG2" s="11"/>
      <c r="AH2" s="11"/>
      <c r="AI2" s="11"/>
      <c r="AJ2" s="11"/>
      <c r="AK2" s="11"/>
      <c r="AL2" s="57"/>
      <c r="AM2" s="80"/>
      <c r="AN2" s="80">
        <f>AN1</f>
        <v>9</v>
      </c>
      <c r="AO2" s="81">
        <f>IF(AO1+(AQ1/AN2)&lt;AQ1,AQ1,AO1+(AQ1/AN2))</f>
        <v>-1.1111111111111112</v>
      </c>
      <c r="AP2" s="82">
        <f t="shared" ref="AP2:AP65" si="0">AR2*(1-(AO2/AQ2))^2</f>
        <v>7.9012345679012348E-3</v>
      </c>
      <c r="AQ2" s="81">
        <f>AQ1</f>
        <v>-10</v>
      </c>
      <c r="AR2" s="83">
        <f>AR1</f>
        <v>0.01</v>
      </c>
      <c r="AS2" s="102" t="s">
        <v>5</v>
      </c>
      <c r="AT2" s="102"/>
      <c r="AU2" s="105" t="s">
        <v>6</v>
      </c>
      <c r="AV2" s="105"/>
      <c r="AW2" s="105"/>
      <c r="AX2" s="105"/>
      <c r="AY2" s="106"/>
      <c r="AZ2" s="107" t="s">
        <v>7</v>
      </c>
      <c r="BA2" s="107"/>
      <c r="BB2" s="107"/>
      <c r="BC2" s="107"/>
      <c r="BD2" s="108"/>
      <c r="BE2" s="6"/>
    </row>
    <row r="3" spans="1:57" ht="15.75" x14ac:dyDescent="0.25">
      <c r="A3" s="11"/>
      <c r="B3" s="90" t="s">
        <v>8</v>
      </c>
      <c r="C3" s="109">
        <v>0.01</v>
      </c>
      <c r="D3" s="109"/>
      <c r="E3" s="91" t="s">
        <v>9</v>
      </c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1"/>
      <c r="U3" s="11"/>
      <c r="V3" s="11"/>
      <c r="W3" s="11"/>
      <c r="X3" s="11"/>
      <c r="Y3" s="11"/>
      <c r="Z3" s="11"/>
      <c r="AA3" s="100"/>
      <c r="AB3" s="100"/>
      <c r="AC3" s="11"/>
      <c r="AD3" s="11"/>
      <c r="AE3" s="11"/>
      <c r="AF3" s="11"/>
      <c r="AG3" s="11"/>
      <c r="AH3" s="11"/>
      <c r="AI3" s="11"/>
      <c r="AJ3" s="11"/>
      <c r="AK3" s="11"/>
      <c r="AL3" s="52"/>
      <c r="AM3" s="52"/>
      <c r="AN3" s="53">
        <f t="shared" ref="AN3:AN66" si="1">AN2</f>
        <v>9</v>
      </c>
      <c r="AO3" s="77">
        <f t="shared" ref="AO3:AO66" si="2">IF(AO2+(AQ2/AN3)&lt;AQ2,AQ2,AO2+(AQ2/AN3))</f>
        <v>-2.2222222222222223</v>
      </c>
      <c r="AP3" s="54">
        <f t="shared" si="0"/>
        <v>6.0493827160493828E-3</v>
      </c>
      <c r="AQ3" s="77">
        <f t="shared" ref="AQ3:AQ66" si="3">AQ2</f>
        <v>-10</v>
      </c>
      <c r="AR3" s="55">
        <f t="shared" ref="AR3:AR66" si="4">AR2</f>
        <v>0.01</v>
      </c>
      <c r="AS3" s="24">
        <f>IF(C5&gt;0,-C5,C5)</f>
        <v>-10</v>
      </c>
      <c r="AT3" s="25">
        <f>AR1*(1-(AS3/AQ1))^2</f>
        <v>0</v>
      </c>
      <c r="AU3" s="26">
        <f>(C8/AQ1)^2*AR1</f>
        <v>100</v>
      </c>
      <c r="AV3" s="27">
        <f>-(1+((-2*AR1*C8)/(AQ1)))</f>
        <v>-3</v>
      </c>
      <c r="AW3" s="27">
        <f>AR1</f>
        <v>0.01</v>
      </c>
      <c r="AX3" s="27">
        <f>IF(C8=0,AR1,(-(AV3)+((AV3)^2-4*AU3*AW3)^(1/2))/(2*AU3))</f>
        <v>2.618033988749895E-2</v>
      </c>
      <c r="AY3" s="28">
        <f>-AX5*C8</f>
        <v>-3.819660112501051</v>
      </c>
      <c r="AZ3" s="9">
        <f>(C10*C6)/(C9+C10)</f>
        <v>5</v>
      </c>
      <c r="BA3" s="78">
        <f>IF(C4&lt;0,-C4,C4)</f>
        <v>10</v>
      </c>
      <c r="BB3" s="9"/>
      <c r="BC3" s="9"/>
      <c r="BD3" s="8"/>
      <c r="BE3" s="6"/>
    </row>
    <row r="4" spans="1:57" ht="15.75" x14ac:dyDescent="0.25">
      <c r="A4" s="11"/>
      <c r="B4" s="92" t="s">
        <v>10</v>
      </c>
      <c r="C4" s="110">
        <v>-10</v>
      </c>
      <c r="D4" s="110"/>
      <c r="E4" s="93" t="s">
        <v>11</v>
      </c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1"/>
      <c r="U4" s="11"/>
      <c r="V4" s="11"/>
      <c r="W4" s="11"/>
      <c r="X4" s="11"/>
      <c r="Y4" s="11"/>
      <c r="Z4" s="11"/>
      <c r="AA4" s="100"/>
      <c r="AB4" s="100"/>
      <c r="AC4" s="11"/>
      <c r="AD4" s="11"/>
      <c r="AE4" s="11"/>
      <c r="AF4" s="11"/>
      <c r="AG4" s="11"/>
      <c r="AH4" s="11"/>
      <c r="AI4" s="11"/>
      <c r="AJ4" s="11"/>
      <c r="AK4" s="11"/>
      <c r="AL4" s="57"/>
      <c r="AM4" s="80"/>
      <c r="AN4" s="80">
        <f t="shared" si="1"/>
        <v>9</v>
      </c>
      <c r="AO4" s="81">
        <f t="shared" si="2"/>
        <v>-3.3333333333333335</v>
      </c>
      <c r="AP4" s="82">
        <f t="shared" si="0"/>
        <v>4.4444444444444444E-3</v>
      </c>
      <c r="AQ4" s="81">
        <f t="shared" si="3"/>
        <v>-10</v>
      </c>
      <c r="AR4" s="82">
        <f t="shared" si="4"/>
        <v>0.01</v>
      </c>
      <c r="AS4" s="29"/>
      <c r="AT4" s="30"/>
      <c r="AU4" s="56"/>
      <c r="AV4" s="57"/>
      <c r="AW4" s="58"/>
      <c r="AX4" s="59">
        <f>IF(C8=0,AR1,(-(AV3)-((AV3)^2-4*AU3*AW3)^(1/2))/(2*AU3))</f>
        <v>3.8196601125010509E-3</v>
      </c>
      <c r="AY4" s="60"/>
      <c r="AZ4" s="59">
        <f>C8^2*(1/BA3)^2*C3</f>
        <v>100.00000000000001</v>
      </c>
      <c r="BA4" s="59">
        <f>(-2*C3*C8/BA3)-(2*AZ3*C8*(1/BA3)^2*C3)-1</f>
        <v>-4</v>
      </c>
      <c r="BB4" s="58">
        <f>C3+(2*C3*AZ3/BA3)+(1/BA3)^2*C3*AZ3^2</f>
        <v>2.2499999999999999E-2</v>
      </c>
      <c r="BC4" s="58">
        <f>(-(BA4)+((BA4)^2-4*AZ4*BB4)^(1/2))/(2*AZ4)</f>
        <v>3.3228756555322946E-2</v>
      </c>
      <c r="BD4" s="61">
        <f>AZ3-BC6*C8</f>
        <v>-1.7712434446770473</v>
      </c>
      <c r="BE4" s="6"/>
    </row>
    <row r="5" spans="1:57" ht="15.75" x14ac:dyDescent="0.25">
      <c r="A5" s="11"/>
      <c r="B5" s="90" t="s">
        <v>12</v>
      </c>
      <c r="C5" s="111">
        <v>-10</v>
      </c>
      <c r="D5" s="111"/>
      <c r="E5" s="91" t="s">
        <v>11</v>
      </c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1"/>
      <c r="U5" s="11"/>
      <c r="V5" s="11"/>
      <c r="W5" s="11"/>
      <c r="X5" s="11"/>
      <c r="Y5" s="11"/>
      <c r="Z5" s="11"/>
      <c r="AA5" s="100"/>
      <c r="AB5" s="100"/>
      <c r="AC5" s="11"/>
      <c r="AD5" s="11"/>
      <c r="AE5" s="11"/>
      <c r="AF5" s="11"/>
      <c r="AG5" s="11"/>
      <c r="AH5" s="11"/>
      <c r="AI5" s="11"/>
      <c r="AJ5" s="11"/>
      <c r="AK5" s="11"/>
      <c r="AL5" s="52"/>
      <c r="AM5" s="53"/>
      <c r="AN5" s="53">
        <f t="shared" si="1"/>
        <v>9</v>
      </c>
      <c r="AO5" s="77">
        <f t="shared" si="2"/>
        <v>-4.4444444444444446</v>
      </c>
      <c r="AP5" s="54">
        <f t="shared" si="0"/>
        <v>3.08641975308642E-3</v>
      </c>
      <c r="AQ5" s="77">
        <f t="shared" si="3"/>
        <v>-10</v>
      </c>
      <c r="AR5" s="54">
        <f t="shared" si="4"/>
        <v>0.01</v>
      </c>
      <c r="AS5" s="29"/>
      <c r="AT5" s="31"/>
      <c r="AU5" s="10"/>
      <c r="AV5" s="32"/>
      <c r="AW5" s="9"/>
      <c r="AX5" s="33">
        <f>IF(AX3&gt;AR1,AX4,AX3)</f>
        <v>3.8196601125010509E-3</v>
      </c>
      <c r="AY5" s="34"/>
      <c r="AZ5" s="33"/>
      <c r="BA5" s="33"/>
      <c r="BB5" s="9"/>
      <c r="BC5" s="9">
        <f>(-(BA4)-((BA4)^2-4*AZ4*BB4)^(1/2))/(2*AZ4)</f>
        <v>6.7712434446770475E-3</v>
      </c>
      <c r="BD5" s="8"/>
      <c r="BE5" s="6"/>
    </row>
    <row r="6" spans="1:57" ht="15.75" x14ac:dyDescent="0.25">
      <c r="A6" s="11"/>
      <c r="B6" s="92" t="s">
        <v>14</v>
      </c>
      <c r="C6" s="110">
        <v>10</v>
      </c>
      <c r="D6" s="110"/>
      <c r="E6" s="93" t="s">
        <v>11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1"/>
      <c r="U6" s="11"/>
      <c r="V6" s="11"/>
      <c r="W6" s="11"/>
      <c r="X6" s="11"/>
      <c r="Y6" s="11"/>
      <c r="Z6" s="11"/>
      <c r="AA6" s="100"/>
      <c r="AB6" s="100"/>
      <c r="AC6" s="11"/>
      <c r="AD6" s="11"/>
      <c r="AE6" s="11"/>
      <c r="AF6" s="11"/>
      <c r="AG6" s="11"/>
      <c r="AH6" s="11"/>
      <c r="AI6" s="11"/>
      <c r="AJ6" s="11"/>
      <c r="AK6" s="11"/>
      <c r="AL6" s="57"/>
      <c r="AM6" s="80"/>
      <c r="AN6" s="80">
        <f t="shared" si="1"/>
        <v>9</v>
      </c>
      <c r="AO6" s="81">
        <f t="shared" si="2"/>
        <v>-5.5555555555555554</v>
      </c>
      <c r="AP6" s="82">
        <f t="shared" si="0"/>
        <v>1.9753086419753087E-3</v>
      </c>
      <c r="AQ6" s="81">
        <f t="shared" si="3"/>
        <v>-10</v>
      </c>
      <c r="AR6" s="82">
        <f t="shared" si="4"/>
        <v>0.01</v>
      </c>
      <c r="AS6" s="29"/>
      <c r="AT6" s="31"/>
      <c r="AU6" s="62">
        <f>-AR1*C8/2</f>
        <v>-5</v>
      </c>
      <c r="AV6" s="63">
        <f>AR1/2</f>
        <v>5.0000000000000001E-3</v>
      </c>
      <c r="AW6" s="63"/>
      <c r="AX6" s="64"/>
      <c r="AY6" s="65"/>
      <c r="AZ6" s="64">
        <f>(C10*C6)/(C9+C10)</f>
        <v>5</v>
      </c>
      <c r="BA6" s="66">
        <f>AZ6/C8</f>
        <v>5.0000000000000001E-3</v>
      </c>
      <c r="BB6" s="63"/>
      <c r="BC6" s="63">
        <f>IF(BC4&gt;AR1,BC5,BC4)</f>
        <v>6.7712434446770475E-3</v>
      </c>
      <c r="BD6" s="67"/>
      <c r="BE6" s="6"/>
    </row>
    <row r="7" spans="1:57" ht="15" customHeight="1" x14ac:dyDescent="0.25">
      <c r="A7" s="11"/>
      <c r="B7" s="90" t="s">
        <v>15</v>
      </c>
      <c r="C7" s="111">
        <v>1000</v>
      </c>
      <c r="D7" s="111"/>
      <c r="E7" s="91" t="s">
        <v>3</v>
      </c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1"/>
      <c r="U7" s="11"/>
      <c r="V7" s="11"/>
      <c r="W7" s="11"/>
      <c r="X7" s="11"/>
      <c r="Y7" s="11"/>
      <c r="Z7" s="11"/>
      <c r="AA7" s="100"/>
      <c r="AB7" s="100"/>
      <c r="AC7" s="11"/>
      <c r="AD7" s="11"/>
      <c r="AE7" s="11"/>
      <c r="AF7" s="11"/>
      <c r="AG7" s="11"/>
      <c r="AH7" s="11"/>
      <c r="AI7" s="11"/>
      <c r="AJ7" s="11"/>
      <c r="AK7" s="11"/>
      <c r="AL7" s="52"/>
      <c r="AM7" s="53"/>
      <c r="AN7" s="53">
        <f t="shared" si="1"/>
        <v>9</v>
      </c>
      <c r="AO7" s="77">
        <f t="shared" si="2"/>
        <v>-6.6666666666666661</v>
      </c>
      <c r="AP7" s="54">
        <f t="shared" si="0"/>
        <v>1.1111111111111113E-3</v>
      </c>
      <c r="AQ7" s="77">
        <f t="shared" si="3"/>
        <v>-10</v>
      </c>
      <c r="AR7" s="54">
        <f t="shared" si="4"/>
        <v>0.01</v>
      </c>
      <c r="AS7" s="29"/>
      <c r="AT7" s="35"/>
      <c r="AU7" s="36"/>
      <c r="AV7" s="37"/>
      <c r="AW7" s="36"/>
      <c r="AX7" s="35"/>
      <c r="AY7" s="38"/>
      <c r="AZ7" s="29"/>
      <c r="BA7" s="39"/>
      <c r="BB7" s="7"/>
      <c r="BC7" s="7"/>
      <c r="BD7" s="7"/>
      <c r="BE7" s="6"/>
    </row>
    <row r="8" spans="1:57" ht="15.75" x14ac:dyDescent="0.25">
      <c r="A8" s="11"/>
      <c r="B8" s="94" t="s">
        <v>16</v>
      </c>
      <c r="C8" s="110">
        <v>1000</v>
      </c>
      <c r="D8" s="110"/>
      <c r="E8" s="93" t="s">
        <v>3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1"/>
      <c r="U8" s="11"/>
      <c r="V8" s="11"/>
      <c r="W8" s="11"/>
      <c r="X8" s="11"/>
      <c r="Y8" s="11"/>
      <c r="Z8" s="11"/>
      <c r="AA8" s="100"/>
      <c r="AB8" s="100"/>
      <c r="AC8" s="11"/>
      <c r="AD8" s="11"/>
      <c r="AE8" s="11"/>
      <c r="AF8" s="11"/>
      <c r="AG8" s="11"/>
      <c r="AH8" s="11"/>
      <c r="AI8" s="11"/>
      <c r="AJ8" s="11"/>
      <c r="AK8" s="11"/>
      <c r="AL8" s="57"/>
      <c r="AM8" s="80"/>
      <c r="AN8" s="80">
        <f t="shared" si="1"/>
        <v>9</v>
      </c>
      <c r="AO8" s="81">
        <f t="shared" si="2"/>
        <v>-7.7777777777777768</v>
      </c>
      <c r="AP8" s="82">
        <f t="shared" si="0"/>
        <v>4.9382716049382761E-4</v>
      </c>
      <c r="AQ8" s="81">
        <f t="shared" si="3"/>
        <v>-10</v>
      </c>
      <c r="AR8" s="82">
        <f t="shared" si="4"/>
        <v>0.01</v>
      </c>
      <c r="AS8" s="31"/>
      <c r="AT8" s="22"/>
      <c r="AU8" s="20" t="s">
        <v>19</v>
      </c>
      <c r="AV8" s="21" t="s">
        <v>20</v>
      </c>
      <c r="AW8" s="20"/>
      <c r="AX8" s="40"/>
      <c r="AY8" s="41"/>
      <c r="AZ8" s="22" t="s">
        <v>19</v>
      </c>
      <c r="BA8" s="23" t="s">
        <v>20</v>
      </c>
      <c r="BB8" s="7"/>
      <c r="BC8" s="7"/>
      <c r="BD8" s="7"/>
      <c r="BE8" s="6"/>
    </row>
    <row r="9" spans="1:57" ht="15.75" x14ac:dyDescent="0.25">
      <c r="A9" s="11"/>
      <c r="B9" s="90" t="s">
        <v>17</v>
      </c>
      <c r="C9" s="111">
        <v>1000</v>
      </c>
      <c r="D9" s="111"/>
      <c r="E9" s="91" t="s">
        <v>3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1"/>
      <c r="U9" s="11"/>
      <c r="V9" s="11"/>
      <c r="W9" s="11"/>
      <c r="X9" s="11"/>
      <c r="Y9" s="11"/>
      <c r="Z9" s="11"/>
      <c r="AA9" s="100"/>
      <c r="AB9" s="100"/>
      <c r="AC9" s="11"/>
      <c r="AD9" s="11"/>
      <c r="AE9" s="11"/>
      <c r="AF9" s="11"/>
      <c r="AG9" s="11"/>
      <c r="AH9" s="11"/>
      <c r="AI9" s="11"/>
      <c r="AJ9" s="11"/>
      <c r="AK9" s="11"/>
      <c r="AL9" s="52"/>
      <c r="AM9" s="53"/>
      <c r="AN9" s="53">
        <f t="shared" si="1"/>
        <v>9</v>
      </c>
      <c r="AO9" s="77">
        <f t="shared" si="2"/>
        <v>-8.8888888888888875</v>
      </c>
      <c r="AP9" s="54">
        <f t="shared" si="0"/>
        <v>1.2345679012345715E-4</v>
      </c>
      <c r="AQ9" s="77">
        <f t="shared" si="3"/>
        <v>-10</v>
      </c>
      <c r="AR9" s="54">
        <f t="shared" si="4"/>
        <v>0.01</v>
      </c>
      <c r="AS9" s="31"/>
      <c r="AT9" s="42">
        <v>1</v>
      </c>
      <c r="AU9" s="43">
        <f>IF(AT9=1,AS3,IF(AT9=2,AY3,IF(AT9=0,IF(C4&lt;0,C4,-C4),BD4)))</f>
        <v>-10</v>
      </c>
      <c r="AV9" s="44">
        <f>IF(AT9=1,AT3,IF(AT9=2,AX5,IF(AT9=0,0,BC6)))</f>
        <v>0</v>
      </c>
      <c r="AW9" s="44"/>
      <c r="AX9" s="45"/>
      <c r="AY9" s="41"/>
      <c r="AZ9" s="75">
        <f>IF(AU9-AQ1&lt;0,-(AU9-AQ1),AU9-AQ1)</f>
        <v>0</v>
      </c>
      <c r="BA9" s="46">
        <f>AV9</f>
        <v>0</v>
      </c>
      <c r="BB9" s="7"/>
      <c r="BC9" s="7"/>
      <c r="BD9" s="7"/>
      <c r="BE9" s="6"/>
    </row>
    <row r="10" spans="1:57" ht="15.75" x14ac:dyDescent="0.25">
      <c r="A10" s="11"/>
      <c r="B10" s="92" t="s">
        <v>18</v>
      </c>
      <c r="C10" s="110">
        <v>1000</v>
      </c>
      <c r="D10" s="110"/>
      <c r="E10" s="93" t="s">
        <v>3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1"/>
      <c r="U10" s="11"/>
      <c r="V10" s="11"/>
      <c r="W10" s="11"/>
      <c r="X10" s="11"/>
      <c r="Y10" s="11"/>
      <c r="Z10" s="11"/>
      <c r="AA10" s="100"/>
      <c r="AB10" s="100"/>
      <c r="AC10" s="11"/>
      <c r="AD10" s="11"/>
      <c r="AE10" s="11"/>
      <c r="AF10" s="11"/>
      <c r="AG10" s="11"/>
      <c r="AH10" s="11"/>
      <c r="AI10" s="11"/>
      <c r="AJ10" s="11"/>
      <c r="AK10" s="11"/>
      <c r="AL10" s="57"/>
      <c r="AM10" s="80"/>
      <c r="AN10" s="80">
        <f t="shared" si="1"/>
        <v>9</v>
      </c>
      <c r="AO10" s="81">
        <f t="shared" si="2"/>
        <v>-9.9999999999999982</v>
      </c>
      <c r="AP10" s="82">
        <f t="shared" si="0"/>
        <v>4.9303806576313239E-34</v>
      </c>
      <c r="AQ10" s="81">
        <f t="shared" si="3"/>
        <v>-10</v>
      </c>
      <c r="AR10" s="82">
        <f t="shared" si="4"/>
        <v>0.01</v>
      </c>
      <c r="AS10" s="31"/>
      <c r="AT10" s="68"/>
      <c r="AU10" s="69"/>
      <c r="AV10" s="70"/>
      <c r="AW10" s="69"/>
      <c r="AX10" s="71"/>
      <c r="AY10" s="41"/>
      <c r="AZ10" s="76">
        <f>IF(AZ9+AZ9&lt;0,-(AZ9+AZ9),AZ9+AZ9)</f>
        <v>0</v>
      </c>
      <c r="BA10" s="74"/>
      <c r="BB10" s="7"/>
      <c r="BC10" s="7"/>
      <c r="BD10" s="7"/>
      <c r="BE10" s="6"/>
    </row>
    <row r="11" spans="1:57" x14ac:dyDescent="0.25">
      <c r="A11" s="11"/>
      <c r="B11" s="95"/>
      <c r="C11" s="95"/>
      <c r="D11" s="95"/>
      <c r="E11" s="95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1"/>
      <c r="U11" s="11"/>
      <c r="V11" s="11"/>
      <c r="W11" s="11"/>
      <c r="X11" s="11"/>
      <c r="Y11" s="11"/>
      <c r="Z11" s="11"/>
      <c r="AA11" s="100"/>
      <c r="AB11" s="100"/>
      <c r="AC11" s="11"/>
      <c r="AD11" s="11"/>
      <c r="AE11" s="11"/>
      <c r="AF11" s="11"/>
      <c r="AG11" s="11"/>
      <c r="AH11" s="11"/>
      <c r="AI11" s="11"/>
      <c r="AJ11" s="11"/>
      <c r="AK11" s="11"/>
      <c r="AL11" s="52"/>
      <c r="AM11" s="53"/>
      <c r="AN11" s="53">
        <f t="shared" si="1"/>
        <v>9</v>
      </c>
      <c r="AO11" s="77">
        <f t="shared" si="2"/>
        <v>-10</v>
      </c>
      <c r="AP11" s="54">
        <f t="shared" si="0"/>
        <v>0</v>
      </c>
      <c r="AQ11" s="77">
        <f t="shared" si="3"/>
        <v>-10</v>
      </c>
      <c r="AR11" s="54">
        <f t="shared" si="4"/>
        <v>0.01</v>
      </c>
      <c r="AS11" s="31"/>
      <c r="AT11" s="47"/>
      <c r="AU11" s="48">
        <f>IF(AT9=2,AU6,IF(AT9=3,0,0))</f>
        <v>0</v>
      </c>
      <c r="AV11" s="49">
        <f>IF(AT9=2,AV6,IF(AT9=3,BA6,0))</f>
        <v>0</v>
      </c>
      <c r="AW11" s="48">
        <f>IF(AT9=2,0,IF(AT9=3,AZ6,0))</f>
        <v>0</v>
      </c>
      <c r="AX11" s="50">
        <f>IF(AT9=2,0,IF(AT9=3,0,0))</f>
        <v>0</v>
      </c>
      <c r="AY11" s="38"/>
      <c r="AZ11" s="29"/>
      <c r="BA11" s="39"/>
      <c r="BB11" s="7"/>
      <c r="BC11" s="7"/>
      <c r="BD11" s="7"/>
      <c r="BE11" s="6"/>
    </row>
    <row r="12" spans="1:57" ht="15.75" x14ac:dyDescent="0.25">
      <c r="A12" s="11"/>
      <c r="B12" s="96"/>
      <c r="C12" s="97">
        <v>10</v>
      </c>
      <c r="D12" s="98" t="s">
        <v>4</v>
      </c>
      <c r="E12" s="99" t="s">
        <v>2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1"/>
      <c r="U12" s="11"/>
      <c r="V12" s="11"/>
      <c r="W12" s="11"/>
      <c r="X12" s="11"/>
      <c r="Y12" s="11"/>
      <c r="Z12" s="11"/>
      <c r="AA12" s="100"/>
      <c r="AB12" s="100"/>
      <c r="AC12" s="11"/>
      <c r="AD12" s="11"/>
      <c r="AE12" s="11"/>
      <c r="AF12" s="11"/>
      <c r="AG12" s="11"/>
      <c r="AH12" s="11"/>
      <c r="AI12" s="11"/>
      <c r="AJ12" s="11"/>
      <c r="AK12" s="11"/>
      <c r="AL12" s="57"/>
      <c r="AM12" s="80"/>
      <c r="AN12" s="80">
        <f t="shared" si="1"/>
        <v>9</v>
      </c>
      <c r="AO12" s="81">
        <f t="shared" si="2"/>
        <v>-10</v>
      </c>
      <c r="AP12" s="82">
        <f t="shared" si="0"/>
        <v>0</v>
      </c>
      <c r="AQ12" s="81">
        <f t="shared" si="3"/>
        <v>-10</v>
      </c>
      <c r="AR12" s="82">
        <f t="shared" si="4"/>
        <v>0.01</v>
      </c>
      <c r="AS12" s="31"/>
      <c r="AT12" s="72"/>
      <c r="AU12" s="62">
        <f>IF(AT9=3,BD4,0)</f>
        <v>0</v>
      </c>
      <c r="AV12" s="73">
        <f>IF(AT9=3,BC6,0)</f>
        <v>0</v>
      </c>
      <c r="AW12" s="62">
        <f>IF(AT9=3,0,0)</f>
        <v>0</v>
      </c>
      <c r="AX12" s="65">
        <f>IF(AT9=3,BA6,0)</f>
        <v>0</v>
      </c>
      <c r="AY12" s="38"/>
      <c r="AZ12" s="29"/>
      <c r="BA12" s="39"/>
      <c r="BB12" s="7"/>
      <c r="BC12" s="7"/>
      <c r="BD12" s="7"/>
      <c r="BE12" s="6"/>
    </row>
    <row r="13" spans="1:57" x14ac:dyDescent="0.25">
      <c r="A13" s="11"/>
      <c r="B13" s="14"/>
      <c r="C13" s="14"/>
      <c r="D13" s="14"/>
      <c r="E13" s="14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1"/>
      <c r="U13" s="11"/>
      <c r="V13" s="11"/>
      <c r="W13" s="11"/>
      <c r="X13" s="11"/>
      <c r="Y13" s="11"/>
      <c r="Z13" s="11"/>
      <c r="AA13" s="100"/>
      <c r="AB13" s="100"/>
      <c r="AC13" s="11"/>
      <c r="AD13" s="11"/>
      <c r="AE13" s="11"/>
      <c r="AF13" s="11"/>
      <c r="AG13" s="11"/>
      <c r="AH13" s="11"/>
      <c r="AI13" s="11"/>
      <c r="AJ13" s="11"/>
      <c r="AK13" s="11"/>
      <c r="AL13" s="52"/>
      <c r="AM13" s="53"/>
      <c r="AN13" s="53">
        <f t="shared" si="1"/>
        <v>9</v>
      </c>
      <c r="AO13" s="77">
        <f t="shared" si="2"/>
        <v>-10</v>
      </c>
      <c r="AP13" s="54">
        <f t="shared" si="0"/>
        <v>0</v>
      </c>
      <c r="AQ13" s="77">
        <f t="shared" si="3"/>
        <v>-10</v>
      </c>
      <c r="AR13" s="54">
        <f t="shared" si="4"/>
        <v>0.01</v>
      </c>
      <c r="AS13" s="29"/>
      <c r="AT13" s="29"/>
      <c r="AU13" s="51"/>
      <c r="AV13" s="7"/>
      <c r="AW13" s="51"/>
      <c r="AX13" s="29"/>
      <c r="AY13" s="38"/>
      <c r="AZ13" s="29"/>
      <c r="BA13" s="39"/>
      <c r="BB13" s="7"/>
      <c r="BC13" s="7"/>
      <c r="BD13" s="7"/>
      <c r="BE13" s="6"/>
    </row>
    <row r="14" spans="1:57" x14ac:dyDescent="0.25">
      <c r="A14" s="11"/>
      <c r="B14" s="11"/>
      <c r="C14" s="11"/>
      <c r="D14" s="11"/>
      <c r="E14" s="11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1"/>
      <c r="U14" s="11"/>
      <c r="V14" s="11"/>
      <c r="W14" s="11"/>
      <c r="X14" s="11"/>
      <c r="Y14" s="11"/>
      <c r="Z14" s="11"/>
      <c r="AA14" s="100"/>
      <c r="AB14" s="100"/>
      <c r="AC14" s="11"/>
      <c r="AD14" s="11"/>
      <c r="AE14" s="11"/>
      <c r="AF14" s="11"/>
      <c r="AG14" s="11"/>
      <c r="AH14" s="11"/>
      <c r="AI14" s="11"/>
      <c r="AJ14" s="11"/>
      <c r="AK14" s="11"/>
      <c r="AL14" s="57"/>
      <c r="AM14" s="80"/>
      <c r="AN14" s="80">
        <f t="shared" si="1"/>
        <v>9</v>
      </c>
      <c r="AO14" s="81">
        <f t="shared" si="2"/>
        <v>-10</v>
      </c>
      <c r="AP14" s="82">
        <f t="shared" si="0"/>
        <v>0</v>
      </c>
      <c r="AQ14" s="81">
        <f t="shared" si="3"/>
        <v>-10</v>
      </c>
      <c r="AR14" s="82">
        <f t="shared" si="4"/>
        <v>0.01</v>
      </c>
      <c r="AS14" s="15"/>
      <c r="AT14" s="15"/>
      <c r="AU14" s="16"/>
      <c r="AV14" s="17"/>
      <c r="AW14" s="16"/>
      <c r="AX14" s="15"/>
      <c r="AY14" s="19"/>
      <c r="AZ14" s="15"/>
      <c r="BA14" s="18"/>
      <c r="BB14" s="17"/>
      <c r="BC14" s="17"/>
      <c r="BD14" s="17"/>
      <c r="BE14" s="6"/>
    </row>
    <row r="15" spans="1:57" x14ac:dyDescent="0.25">
      <c r="A15" s="11"/>
      <c r="B15" s="11"/>
      <c r="C15" s="11"/>
      <c r="D15" s="11"/>
      <c r="E15" s="11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1"/>
      <c r="U15" s="11"/>
      <c r="V15" s="11"/>
      <c r="W15" s="11"/>
      <c r="X15" s="11"/>
      <c r="Y15" s="11"/>
      <c r="Z15" s="11"/>
      <c r="AA15" s="100"/>
      <c r="AB15" s="100"/>
      <c r="AC15" s="11"/>
      <c r="AD15" s="11"/>
      <c r="AE15" s="11"/>
      <c r="AF15" s="11"/>
      <c r="AG15" s="11"/>
      <c r="AH15" s="11"/>
      <c r="AI15" s="11"/>
      <c r="AJ15" s="11"/>
      <c r="AK15" s="11"/>
      <c r="AL15" s="52"/>
      <c r="AM15" s="53"/>
      <c r="AN15" s="53">
        <f t="shared" si="1"/>
        <v>9</v>
      </c>
      <c r="AO15" s="77">
        <f t="shared" si="2"/>
        <v>-10</v>
      </c>
      <c r="AP15" s="54">
        <f t="shared" si="0"/>
        <v>0</v>
      </c>
      <c r="AQ15" s="77">
        <f t="shared" si="3"/>
        <v>-10</v>
      </c>
      <c r="AR15" s="54">
        <f t="shared" si="4"/>
        <v>0.01</v>
      </c>
      <c r="AS15" s="15"/>
      <c r="AT15" s="15"/>
      <c r="AU15" s="16"/>
      <c r="AV15" s="17"/>
      <c r="AW15" s="16"/>
      <c r="AX15" s="15"/>
      <c r="AY15" s="19"/>
      <c r="AZ15" s="15"/>
      <c r="BA15" s="18"/>
      <c r="BB15" s="17"/>
      <c r="BC15" s="17"/>
      <c r="BD15" s="17"/>
      <c r="BE15" s="6"/>
    </row>
    <row r="16" spans="1:57" x14ac:dyDescent="0.25">
      <c r="A16" s="11"/>
      <c r="B16" s="11"/>
      <c r="C16" s="11"/>
      <c r="D16" s="11"/>
      <c r="E16" s="11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1"/>
      <c r="U16" s="11"/>
      <c r="V16" s="11"/>
      <c r="W16" s="11"/>
      <c r="X16" s="11"/>
      <c r="Y16" s="11"/>
      <c r="Z16" s="11"/>
      <c r="AA16" s="100"/>
      <c r="AB16" s="100"/>
      <c r="AC16" s="11"/>
      <c r="AD16" s="11"/>
      <c r="AE16" s="11"/>
      <c r="AF16" s="11"/>
      <c r="AG16" s="11"/>
      <c r="AH16" s="11"/>
      <c r="AI16" s="11"/>
      <c r="AJ16" s="11"/>
      <c r="AK16" s="11"/>
      <c r="AL16" s="57"/>
      <c r="AM16" s="80"/>
      <c r="AN16" s="80">
        <f t="shared" si="1"/>
        <v>9</v>
      </c>
      <c r="AO16" s="81">
        <f t="shared" si="2"/>
        <v>-10</v>
      </c>
      <c r="AP16" s="82">
        <f t="shared" si="0"/>
        <v>0</v>
      </c>
      <c r="AQ16" s="81">
        <f t="shared" si="3"/>
        <v>-10</v>
      </c>
      <c r="AR16" s="82">
        <f t="shared" si="4"/>
        <v>0.01</v>
      </c>
      <c r="AS16" s="15"/>
      <c r="AT16" s="15"/>
      <c r="AU16" s="16"/>
      <c r="AV16" s="17"/>
      <c r="AW16" s="16"/>
      <c r="AX16" s="15"/>
      <c r="AY16" s="19"/>
      <c r="AZ16" s="15"/>
      <c r="BA16" s="18"/>
      <c r="BB16" s="17"/>
      <c r="BC16" s="17"/>
      <c r="BD16" s="17"/>
      <c r="BE16" s="6"/>
    </row>
    <row r="17" spans="1:57" x14ac:dyDescent="0.25">
      <c r="A17" s="11"/>
      <c r="B17" s="11"/>
      <c r="C17" s="11"/>
      <c r="D17" s="11"/>
      <c r="E17" s="11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1"/>
      <c r="U17" s="11"/>
      <c r="V17" s="11"/>
      <c r="W17" s="11"/>
      <c r="X17" s="11"/>
      <c r="Y17" s="11"/>
      <c r="Z17" s="11"/>
      <c r="AA17" s="100"/>
      <c r="AB17" s="100"/>
      <c r="AC17" s="11"/>
      <c r="AD17" s="11"/>
      <c r="AE17" s="11"/>
      <c r="AF17" s="11"/>
      <c r="AG17" s="11"/>
      <c r="AH17" s="11"/>
      <c r="AI17" s="11"/>
      <c r="AJ17" s="11"/>
      <c r="AK17" s="11"/>
      <c r="AL17" s="52"/>
      <c r="AM17" s="53"/>
      <c r="AN17" s="53">
        <f t="shared" si="1"/>
        <v>9</v>
      </c>
      <c r="AO17" s="77">
        <f t="shared" si="2"/>
        <v>-10</v>
      </c>
      <c r="AP17" s="54">
        <f t="shared" si="0"/>
        <v>0</v>
      </c>
      <c r="AQ17" s="77">
        <f t="shared" si="3"/>
        <v>-10</v>
      </c>
      <c r="AR17" s="54">
        <f t="shared" si="4"/>
        <v>0.01</v>
      </c>
      <c r="AS17" s="15"/>
      <c r="AT17" s="15"/>
      <c r="AU17" s="16"/>
      <c r="AV17" s="17"/>
      <c r="AW17" s="16"/>
      <c r="AX17" s="15"/>
      <c r="AY17" s="19"/>
      <c r="AZ17" s="15"/>
      <c r="BA17" s="18"/>
      <c r="BB17" s="17"/>
      <c r="BC17" s="17"/>
      <c r="BD17" s="17"/>
      <c r="BE17" s="6"/>
    </row>
    <row r="18" spans="1:57" x14ac:dyDescent="0.25">
      <c r="A18" s="11"/>
      <c r="B18" s="11"/>
      <c r="C18" s="11"/>
      <c r="D18" s="11"/>
      <c r="E18" s="11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1"/>
      <c r="U18" s="11"/>
      <c r="V18" s="11"/>
      <c r="W18" s="11"/>
      <c r="X18" s="11"/>
      <c r="Y18" s="11"/>
      <c r="Z18" s="11"/>
      <c r="AA18" s="100"/>
      <c r="AB18" s="100"/>
      <c r="AC18" s="11"/>
      <c r="AD18" s="11"/>
      <c r="AE18" s="11"/>
      <c r="AF18" s="11"/>
      <c r="AG18" s="11"/>
      <c r="AH18" s="11"/>
      <c r="AI18" s="11"/>
      <c r="AJ18" s="11"/>
      <c r="AK18" s="11"/>
      <c r="AL18" s="57"/>
      <c r="AM18" s="80"/>
      <c r="AN18" s="80">
        <f t="shared" si="1"/>
        <v>9</v>
      </c>
      <c r="AO18" s="81">
        <f t="shared" si="2"/>
        <v>-10</v>
      </c>
      <c r="AP18" s="82">
        <f t="shared" si="0"/>
        <v>0</v>
      </c>
      <c r="AQ18" s="81">
        <f t="shared" si="3"/>
        <v>-10</v>
      </c>
      <c r="AR18" s="82">
        <f t="shared" si="4"/>
        <v>0.01</v>
      </c>
      <c r="AS18" s="15"/>
      <c r="AT18" s="15"/>
      <c r="AU18" s="16"/>
      <c r="AV18" s="17"/>
      <c r="AW18" s="16"/>
      <c r="AX18" s="15"/>
      <c r="AY18" s="19"/>
      <c r="AZ18" s="15"/>
      <c r="BA18" s="18"/>
      <c r="BB18" s="17"/>
      <c r="BC18" s="17"/>
      <c r="BD18" s="17"/>
      <c r="BE18" s="6"/>
    </row>
    <row r="19" spans="1:57" x14ac:dyDescent="0.25">
      <c r="A19" s="11"/>
      <c r="B19" s="11"/>
      <c r="C19" s="11"/>
      <c r="D19" s="11"/>
      <c r="E19" s="11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1"/>
      <c r="R19" s="84"/>
      <c r="S19" s="12"/>
      <c r="T19" s="11"/>
      <c r="U19" s="11"/>
      <c r="V19" s="11"/>
      <c r="W19" s="11"/>
      <c r="X19" s="11"/>
      <c r="Y19" s="11"/>
      <c r="Z19" s="11"/>
      <c r="AA19" s="100"/>
      <c r="AB19" s="100"/>
      <c r="AC19" s="11"/>
      <c r="AD19" s="11"/>
      <c r="AE19" s="11"/>
      <c r="AF19" s="11"/>
      <c r="AG19" s="11"/>
      <c r="AH19" s="11"/>
      <c r="AI19" s="11"/>
      <c r="AJ19" s="11"/>
      <c r="AK19" s="11"/>
      <c r="AL19" s="52"/>
      <c r="AM19" s="53"/>
      <c r="AN19" s="53">
        <f t="shared" si="1"/>
        <v>9</v>
      </c>
      <c r="AO19" s="77">
        <f t="shared" si="2"/>
        <v>-10</v>
      </c>
      <c r="AP19" s="54">
        <f t="shared" si="0"/>
        <v>0</v>
      </c>
      <c r="AQ19" s="77">
        <f t="shared" si="3"/>
        <v>-10</v>
      </c>
      <c r="AR19" s="54">
        <f t="shared" si="4"/>
        <v>0.01</v>
      </c>
      <c r="AS19" s="15"/>
      <c r="AT19" s="15"/>
      <c r="AU19" s="16"/>
      <c r="AV19" s="17"/>
      <c r="AW19" s="16"/>
      <c r="AX19" s="15"/>
      <c r="AY19" s="19"/>
      <c r="AZ19" s="15"/>
      <c r="BA19" s="18"/>
      <c r="BB19" s="17"/>
      <c r="BC19" s="17"/>
      <c r="BD19" s="17"/>
      <c r="BE19" s="6"/>
    </row>
    <row r="20" spans="1:57" x14ac:dyDescent="0.25">
      <c r="A20" s="11"/>
      <c r="B20" s="11"/>
      <c r="C20" s="11"/>
      <c r="D20" s="11"/>
      <c r="E20" s="11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85"/>
      <c r="R20" s="86"/>
      <c r="S20" s="12"/>
      <c r="T20" s="11"/>
      <c r="U20" s="11"/>
      <c r="V20" s="11"/>
      <c r="W20" s="11"/>
      <c r="X20" s="11"/>
      <c r="Y20" s="11"/>
      <c r="Z20" s="11"/>
      <c r="AA20" s="100"/>
      <c r="AB20" s="100"/>
      <c r="AC20" s="11"/>
      <c r="AD20" s="11"/>
      <c r="AE20" s="11"/>
      <c r="AF20" s="11"/>
      <c r="AG20" s="11"/>
      <c r="AH20" s="11"/>
      <c r="AI20" s="11"/>
      <c r="AJ20" s="11"/>
      <c r="AK20" s="11"/>
      <c r="AL20" s="57"/>
      <c r="AM20" s="80"/>
      <c r="AN20" s="80">
        <f t="shared" si="1"/>
        <v>9</v>
      </c>
      <c r="AO20" s="81">
        <f t="shared" si="2"/>
        <v>-10</v>
      </c>
      <c r="AP20" s="82">
        <f t="shared" si="0"/>
        <v>0</v>
      </c>
      <c r="AQ20" s="81">
        <f t="shared" si="3"/>
        <v>-10</v>
      </c>
      <c r="AR20" s="82">
        <f t="shared" si="4"/>
        <v>0.01</v>
      </c>
      <c r="AS20" s="15"/>
      <c r="AT20" s="15"/>
      <c r="AU20" s="16"/>
      <c r="AV20" s="17"/>
      <c r="AW20" s="16"/>
      <c r="AX20" s="15"/>
      <c r="AY20" s="19"/>
      <c r="AZ20" s="15"/>
      <c r="BA20" s="18"/>
      <c r="BB20" s="17"/>
      <c r="BC20" s="17"/>
      <c r="BD20" s="17"/>
      <c r="BE20" s="6"/>
    </row>
    <row r="21" spans="1:57" ht="15" customHeight="1" x14ac:dyDescent="0.25">
      <c r="A21" s="11"/>
      <c r="B21" s="115" t="s">
        <v>21</v>
      </c>
      <c r="C21" s="115"/>
      <c r="D21" s="116"/>
      <c r="E21" s="116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86"/>
      <c r="R21" s="86"/>
      <c r="S21" s="12"/>
      <c r="T21" s="11"/>
      <c r="U21" s="11"/>
      <c r="V21" s="11"/>
      <c r="W21" s="11"/>
      <c r="X21" s="11"/>
      <c r="Y21" s="11"/>
      <c r="Z21" s="11"/>
      <c r="AA21" s="100"/>
      <c r="AB21" s="100"/>
      <c r="AC21" s="11"/>
      <c r="AD21" s="11"/>
      <c r="AE21" s="11"/>
      <c r="AF21" s="11"/>
      <c r="AG21" s="11"/>
      <c r="AH21" s="11"/>
      <c r="AI21" s="11"/>
      <c r="AJ21" s="11"/>
      <c r="AK21" s="11"/>
      <c r="AL21" s="52"/>
      <c r="AM21" s="53"/>
      <c r="AN21" s="53">
        <f t="shared" si="1"/>
        <v>9</v>
      </c>
      <c r="AO21" s="77">
        <f t="shared" si="2"/>
        <v>-10</v>
      </c>
      <c r="AP21" s="54">
        <f t="shared" si="0"/>
        <v>0</v>
      </c>
      <c r="AQ21" s="77">
        <f t="shared" si="3"/>
        <v>-10</v>
      </c>
      <c r="AR21" s="54">
        <f t="shared" si="4"/>
        <v>0.01</v>
      </c>
      <c r="AS21" s="15"/>
      <c r="AT21" s="15"/>
      <c r="AU21" s="16"/>
      <c r="AV21" s="17"/>
      <c r="AW21" s="16"/>
      <c r="AX21" s="15"/>
      <c r="AY21" s="19"/>
      <c r="AZ21" s="15"/>
      <c r="BA21" s="18"/>
      <c r="BB21" s="17"/>
      <c r="BC21" s="17"/>
      <c r="BD21" s="17"/>
      <c r="BE21" s="6"/>
    </row>
    <row r="22" spans="1:57" ht="15" customHeight="1" x14ac:dyDescent="0.25">
      <c r="A22" s="11"/>
      <c r="B22" s="117" t="s">
        <v>0</v>
      </c>
      <c r="C22" s="117"/>
      <c r="D22" s="118" t="s">
        <v>1</v>
      </c>
      <c r="E22" s="118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86"/>
      <c r="R22" s="86"/>
      <c r="S22" s="12"/>
      <c r="T22" s="11"/>
      <c r="U22" s="11"/>
      <c r="V22" s="11"/>
      <c r="W22" s="11"/>
      <c r="X22" s="11"/>
      <c r="Y22" s="11"/>
      <c r="Z22" s="11"/>
      <c r="AA22" s="100"/>
      <c r="AB22" s="100"/>
      <c r="AC22" s="11"/>
      <c r="AD22" s="11"/>
      <c r="AE22" s="11"/>
      <c r="AF22" s="11"/>
      <c r="AG22" s="11"/>
      <c r="AH22" s="11"/>
      <c r="AI22" s="11"/>
      <c r="AJ22" s="11"/>
      <c r="AK22" s="11"/>
      <c r="AL22" s="57"/>
      <c r="AM22" s="80"/>
      <c r="AN22" s="80">
        <f t="shared" si="1"/>
        <v>9</v>
      </c>
      <c r="AO22" s="81">
        <f t="shared" si="2"/>
        <v>-10</v>
      </c>
      <c r="AP22" s="82">
        <f t="shared" si="0"/>
        <v>0</v>
      </c>
      <c r="AQ22" s="81">
        <f t="shared" si="3"/>
        <v>-10</v>
      </c>
      <c r="AR22" s="82">
        <f t="shared" si="4"/>
        <v>0.01</v>
      </c>
      <c r="AS22" s="15"/>
      <c r="AT22" s="15"/>
      <c r="AU22" s="16"/>
      <c r="AV22" s="17"/>
      <c r="AW22" s="16"/>
      <c r="AX22" s="15"/>
      <c r="AY22" s="19"/>
      <c r="AZ22" s="15"/>
      <c r="BA22" s="18"/>
      <c r="BB22" s="17"/>
      <c r="BC22" s="17"/>
      <c r="BD22" s="17"/>
      <c r="BE22" s="6"/>
    </row>
    <row r="23" spans="1:57" x14ac:dyDescent="0.25">
      <c r="A23" s="11"/>
      <c r="B23" s="112">
        <v>0</v>
      </c>
      <c r="C23" s="112"/>
      <c r="D23" s="114">
        <f>C3</f>
        <v>0.01</v>
      </c>
      <c r="E23" s="114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86"/>
      <c r="R23" s="86"/>
      <c r="S23" s="12"/>
      <c r="T23" s="11"/>
      <c r="U23" s="11"/>
      <c r="V23" s="11"/>
      <c r="W23" s="11"/>
      <c r="X23" s="11"/>
      <c r="Y23" s="11"/>
      <c r="Z23" s="11"/>
      <c r="AA23" s="100"/>
      <c r="AB23" s="100"/>
      <c r="AC23" s="11"/>
      <c r="AD23" s="11"/>
      <c r="AE23" s="11"/>
      <c r="AF23" s="11"/>
      <c r="AG23" s="11"/>
      <c r="AH23" s="11"/>
      <c r="AI23" s="11"/>
      <c r="AJ23" s="11"/>
      <c r="AK23" s="11"/>
      <c r="AL23" s="52"/>
      <c r="AM23" s="53"/>
      <c r="AN23" s="53">
        <f t="shared" si="1"/>
        <v>9</v>
      </c>
      <c r="AO23" s="77">
        <f t="shared" si="2"/>
        <v>-10</v>
      </c>
      <c r="AP23" s="54">
        <f t="shared" si="0"/>
        <v>0</v>
      </c>
      <c r="AQ23" s="77">
        <f t="shared" si="3"/>
        <v>-10</v>
      </c>
      <c r="AR23" s="54">
        <f t="shared" si="4"/>
        <v>0.01</v>
      </c>
      <c r="AS23" s="15"/>
      <c r="AT23" s="15"/>
      <c r="AU23" s="16"/>
      <c r="AV23" s="17"/>
      <c r="AW23" s="16"/>
      <c r="AX23" s="15"/>
      <c r="AY23" s="19"/>
      <c r="AZ23" s="15"/>
      <c r="BA23" s="18"/>
      <c r="BB23" s="17"/>
      <c r="BC23" s="17"/>
      <c r="BD23" s="17"/>
      <c r="BE23" s="6"/>
    </row>
    <row r="24" spans="1:57" x14ac:dyDescent="0.25">
      <c r="A24" s="11"/>
      <c r="B24" s="113">
        <f>IF(0.3*C4&gt;0,-0.3*C4,0.3*C4)</f>
        <v>-3</v>
      </c>
      <c r="C24" s="113"/>
      <c r="D24" s="119">
        <f>C3/2</f>
        <v>5.0000000000000001E-3</v>
      </c>
      <c r="E24" s="119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1"/>
      <c r="U24" s="11"/>
      <c r="V24" s="11"/>
      <c r="W24" s="11"/>
      <c r="X24" s="11"/>
      <c r="Y24" s="11"/>
      <c r="Z24" s="11"/>
      <c r="AA24" s="100"/>
      <c r="AB24" s="100"/>
      <c r="AC24" s="11"/>
      <c r="AD24" s="11"/>
      <c r="AE24" s="11"/>
      <c r="AF24" s="11"/>
      <c r="AG24" s="11"/>
      <c r="AH24" s="11"/>
      <c r="AI24" s="11"/>
      <c r="AJ24" s="11"/>
      <c r="AK24" s="11"/>
      <c r="AL24" s="57"/>
      <c r="AM24" s="80"/>
      <c r="AN24" s="80">
        <f t="shared" si="1"/>
        <v>9</v>
      </c>
      <c r="AO24" s="81">
        <f t="shared" si="2"/>
        <v>-10</v>
      </c>
      <c r="AP24" s="82">
        <f t="shared" si="0"/>
        <v>0</v>
      </c>
      <c r="AQ24" s="81">
        <f t="shared" si="3"/>
        <v>-10</v>
      </c>
      <c r="AR24" s="82">
        <f t="shared" si="4"/>
        <v>0.01</v>
      </c>
      <c r="AS24" s="15"/>
      <c r="AT24" s="15"/>
      <c r="AU24" s="16"/>
      <c r="AV24" s="17"/>
      <c r="AW24" s="16"/>
      <c r="AX24" s="15"/>
      <c r="AY24" s="19"/>
      <c r="AZ24" s="15"/>
      <c r="BA24" s="18"/>
      <c r="BB24" s="17"/>
      <c r="BC24" s="17"/>
      <c r="BD24" s="17"/>
      <c r="BE24" s="6"/>
    </row>
    <row r="25" spans="1:57" x14ac:dyDescent="0.25">
      <c r="A25" s="11"/>
      <c r="B25" s="112">
        <f>IF(0.5*C4&gt;0,-0.5*C4,0.5*C4)</f>
        <v>-5</v>
      </c>
      <c r="C25" s="112"/>
      <c r="D25" s="114">
        <f>C3/4</f>
        <v>2.5000000000000001E-3</v>
      </c>
      <c r="E25" s="11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1"/>
      <c r="U25" s="11"/>
      <c r="V25" s="11"/>
      <c r="W25" s="11"/>
      <c r="X25" s="11"/>
      <c r="Y25" s="11"/>
      <c r="Z25" s="11"/>
      <c r="AA25" s="100"/>
      <c r="AB25" s="100"/>
      <c r="AC25" s="11"/>
      <c r="AD25" s="11"/>
      <c r="AE25" s="11"/>
      <c r="AF25" s="11"/>
      <c r="AG25" s="11"/>
      <c r="AH25" s="11"/>
      <c r="AI25" s="11"/>
      <c r="AJ25" s="11"/>
      <c r="AK25" s="11"/>
      <c r="AL25" s="52"/>
      <c r="AM25" s="53"/>
      <c r="AN25" s="53">
        <f t="shared" si="1"/>
        <v>9</v>
      </c>
      <c r="AO25" s="77">
        <f t="shared" si="2"/>
        <v>-10</v>
      </c>
      <c r="AP25" s="54">
        <f t="shared" si="0"/>
        <v>0</v>
      </c>
      <c r="AQ25" s="77">
        <f t="shared" si="3"/>
        <v>-10</v>
      </c>
      <c r="AR25" s="54">
        <f t="shared" si="4"/>
        <v>0.01</v>
      </c>
      <c r="AS25" s="15"/>
      <c r="AT25" s="15"/>
      <c r="AU25" s="16"/>
      <c r="AV25" s="17"/>
      <c r="AW25" s="16"/>
      <c r="AX25" s="15"/>
      <c r="AY25" s="19"/>
      <c r="AZ25" s="15"/>
      <c r="BA25" s="18"/>
      <c r="BB25" s="17"/>
      <c r="BC25" s="17"/>
      <c r="BD25" s="17"/>
      <c r="BE25" s="6"/>
    </row>
    <row r="26" spans="1:57" x14ac:dyDescent="0.25">
      <c r="A26" s="11"/>
      <c r="B26" s="113">
        <f>IF(C4&gt;0,-C4,C4)</f>
        <v>-10</v>
      </c>
      <c r="C26" s="113"/>
      <c r="D26" s="112">
        <v>0</v>
      </c>
      <c r="E26" s="1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1"/>
      <c r="U26" s="11"/>
      <c r="V26" s="11"/>
      <c r="W26" s="11"/>
      <c r="X26" s="11"/>
      <c r="Y26" s="11"/>
      <c r="Z26" s="11"/>
      <c r="AA26" s="100"/>
      <c r="AB26" s="100"/>
      <c r="AC26" s="11"/>
      <c r="AD26" s="11"/>
      <c r="AE26" s="11"/>
      <c r="AF26" s="11"/>
      <c r="AG26" s="11"/>
      <c r="AH26" s="11"/>
      <c r="AI26" s="11"/>
      <c r="AJ26" s="11"/>
      <c r="AK26" s="11"/>
      <c r="AL26" s="57"/>
      <c r="AM26" s="80"/>
      <c r="AN26" s="80">
        <f t="shared" si="1"/>
        <v>9</v>
      </c>
      <c r="AO26" s="81">
        <f t="shared" si="2"/>
        <v>-10</v>
      </c>
      <c r="AP26" s="82">
        <f t="shared" si="0"/>
        <v>0</v>
      </c>
      <c r="AQ26" s="81">
        <f t="shared" si="3"/>
        <v>-10</v>
      </c>
      <c r="AR26" s="82">
        <f t="shared" si="4"/>
        <v>0.01</v>
      </c>
      <c r="AS26" s="15"/>
      <c r="AT26" s="15"/>
      <c r="AU26" s="16"/>
      <c r="AV26" s="17"/>
      <c r="AW26" s="16"/>
      <c r="AX26" s="15"/>
      <c r="AY26" s="19"/>
      <c r="AZ26" s="15"/>
      <c r="BA26" s="18"/>
      <c r="BB26" s="17"/>
      <c r="BC26" s="17"/>
      <c r="BD26" s="17"/>
      <c r="BE26" s="6"/>
    </row>
    <row r="27" spans="1:57" x14ac:dyDescent="0.25">
      <c r="A27" s="11"/>
      <c r="B27" s="11"/>
      <c r="C27" s="11"/>
      <c r="D27" s="11"/>
      <c r="E27" s="11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1"/>
      <c r="U27" s="11"/>
      <c r="V27" s="11"/>
      <c r="W27" s="11"/>
      <c r="X27" s="11"/>
      <c r="Y27" s="11"/>
      <c r="Z27" s="11"/>
      <c r="AA27" s="100"/>
      <c r="AB27" s="100"/>
      <c r="AC27" s="11"/>
      <c r="AD27" s="11"/>
      <c r="AE27" s="11"/>
      <c r="AF27" s="11"/>
      <c r="AG27" s="11"/>
      <c r="AH27" s="11"/>
      <c r="AI27" s="11"/>
      <c r="AJ27" s="11"/>
      <c r="AK27" s="11"/>
      <c r="AL27" s="52"/>
      <c r="AM27" s="53"/>
      <c r="AN27" s="53">
        <f t="shared" si="1"/>
        <v>9</v>
      </c>
      <c r="AO27" s="77">
        <f t="shared" si="2"/>
        <v>-10</v>
      </c>
      <c r="AP27" s="54">
        <f t="shared" si="0"/>
        <v>0</v>
      </c>
      <c r="AQ27" s="77">
        <f t="shared" si="3"/>
        <v>-10</v>
      </c>
      <c r="AR27" s="54">
        <f t="shared" si="4"/>
        <v>0.01</v>
      </c>
      <c r="AS27" s="15"/>
      <c r="AT27" s="15"/>
      <c r="AU27" s="16"/>
      <c r="AV27" s="17"/>
      <c r="AW27" s="16"/>
      <c r="AX27" s="15"/>
      <c r="AY27" s="19"/>
      <c r="AZ27" s="15"/>
      <c r="BA27" s="18"/>
      <c r="BB27" s="17"/>
      <c r="BC27" s="17"/>
      <c r="BD27" s="17"/>
      <c r="BE27" s="6"/>
    </row>
    <row r="28" spans="1:57" x14ac:dyDescent="0.25">
      <c r="A28" s="11"/>
      <c r="B28" s="11"/>
      <c r="C28" s="11"/>
      <c r="D28" s="11"/>
      <c r="E28" s="11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1"/>
      <c r="U28" s="11"/>
      <c r="V28" s="11"/>
      <c r="W28" s="11"/>
      <c r="X28" s="11"/>
      <c r="Y28" s="11"/>
      <c r="Z28" s="11"/>
      <c r="AA28" s="100"/>
      <c r="AB28" s="100"/>
      <c r="AC28" s="11"/>
      <c r="AD28" s="11"/>
      <c r="AE28" s="11"/>
      <c r="AF28" s="11"/>
      <c r="AG28" s="11"/>
      <c r="AH28" s="11"/>
      <c r="AI28" s="11"/>
      <c r="AJ28" s="11"/>
      <c r="AK28" s="11"/>
      <c r="AL28" s="57"/>
      <c r="AM28" s="80"/>
      <c r="AN28" s="80">
        <f t="shared" si="1"/>
        <v>9</v>
      </c>
      <c r="AO28" s="81">
        <f t="shared" si="2"/>
        <v>-10</v>
      </c>
      <c r="AP28" s="82">
        <f t="shared" si="0"/>
        <v>0</v>
      </c>
      <c r="AQ28" s="81">
        <f t="shared" si="3"/>
        <v>-10</v>
      </c>
      <c r="AR28" s="82">
        <f t="shared" si="4"/>
        <v>0.01</v>
      </c>
      <c r="AS28" s="15"/>
      <c r="AT28" s="15"/>
      <c r="AU28" s="16"/>
      <c r="AV28" s="17"/>
      <c r="AW28" s="16"/>
      <c r="AX28" s="15"/>
      <c r="AY28" s="19"/>
      <c r="AZ28" s="15"/>
      <c r="BA28" s="18"/>
      <c r="BB28" s="17"/>
      <c r="BC28" s="17"/>
      <c r="BD28" s="17"/>
      <c r="BE28" s="6"/>
    </row>
    <row r="29" spans="1:57" x14ac:dyDescent="0.25">
      <c r="A29" s="11"/>
      <c r="B29" s="11"/>
      <c r="C29" s="11"/>
      <c r="D29" s="11"/>
      <c r="E29" s="11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1"/>
      <c r="U29" s="11"/>
      <c r="V29" s="11"/>
      <c r="W29" s="11"/>
      <c r="X29" s="11"/>
      <c r="Y29" s="11"/>
      <c r="Z29" s="11"/>
      <c r="AA29" s="100"/>
      <c r="AB29" s="100"/>
      <c r="AC29" s="11"/>
      <c r="AD29" s="11"/>
      <c r="AE29" s="11"/>
      <c r="AF29" s="11"/>
      <c r="AG29" s="11"/>
      <c r="AH29" s="11"/>
      <c r="AI29" s="11"/>
      <c r="AJ29" s="11"/>
      <c r="AK29" s="11"/>
      <c r="AL29" s="52"/>
      <c r="AM29" s="53"/>
      <c r="AN29" s="53">
        <f t="shared" si="1"/>
        <v>9</v>
      </c>
      <c r="AO29" s="77">
        <f t="shared" si="2"/>
        <v>-10</v>
      </c>
      <c r="AP29" s="54">
        <f t="shared" si="0"/>
        <v>0</v>
      </c>
      <c r="AQ29" s="77">
        <f t="shared" si="3"/>
        <v>-10</v>
      </c>
      <c r="AR29" s="54">
        <f t="shared" si="4"/>
        <v>0.01</v>
      </c>
      <c r="AS29" s="15"/>
      <c r="AT29" s="15"/>
      <c r="AU29" s="16"/>
      <c r="AV29" s="17"/>
      <c r="AW29" s="16"/>
      <c r="AX29" s="15"/>
      <c r="AY29" s="19"/>
      <c r="AZ29" s="15"/>
      <c r="BA29" s="18"/>
      <c r="BB29" s="17"/>
      <c r="BC29" s="17"/>
      <c r="BD29" s="17"/>
      <c r="BE29" s="6"/>
    </row>
    <row r="30" spans="1:57" x14ac:dyDescent="0.25">
      <c r="A30" s="11"/>
      <c r="B30" s="11"/>
      <c r="C30" s="11"/>
      <c r="D30" s="11"/>
      <c r="E30" s="11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1"/>
      <c r="U30" s="11"/>
      <c r="V30" s="11"/>
      <c r="W30" s="11"/>
      <c r="X30" s="11"/>
      <c r="Y30" s="11"/>
      <c r="Z30" s="11"/>
      <c r="AA30" s="100"/>
      <c r="AB30" s="100"/>
      <c r="AC30" s="11"/>
      <c r="AD30" s="11"/>
      <c r="AE30" s="11"/>
      <c r="AF30" s="11"/>
      <c r="AG30" s="11"/>
      <c r="AH30" s="11"/>
      <c r="AI30" s="11"/>
      <c r="AJ30" s="11"/>
      <c r="AK30" s="11"/>
      <c r="AL30" s="57"/>
      <c r="AM30" s="80"/>
      <c r="AN30" s="80">
        <f t="shared" si="1"/>
        <v>9</v>
      </c>
      <c r="AO30" s="81">
        <f t="shared" si="2"/>
        <v>-10</v>
      </c>
      <c r="AP30" s="82">
        <f t="shared" si="0"/>
        <v>0</v>
      </c>
      <c r="AQ30" s="81">
        <f t="shared" si="3"/>
        <v>-10</v>
      </c>
      <c r="AR30" s="82">
        <f t="shared" si="4"/>
        <v>0.01</v>
      </c>
      <c r="AS30" s="15"/>
      <c r="AT30" s="15"/>
      <c r="AU30" s="16"/>
      <c r="AV30" s="17"/>
      <c r="AW30" s="16"/>
      <c r="AX30" s="15"/>
      <c r="AY30" s="19"/>
      <c r="AZ30" s="15"/>
      <c r="BA30" s="18"/>
      <c r="BB30" s="17"/>
      <c r="BC30" s="17"/>
      <c r="BD30" s="17"/>
      <c r="BE30" s="6"/>
    </row>
    <row r="31" spans="1:57" x14ac:dyDescent="0.25">
      <c r="A31" s="11"/>
      <c r="B31" s="11"/>
      <c r="C31" s="11"/>
      <c r="D31" s="11"/>
      <c r="E31" s="11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1"/>
      <c r="U31" s="11"/>
      <c r="V31" s="11"/>
      <c r="W31" s="11"/>
      <c r="X31" s="11"/>
      <c r="Y31" s="11"/>
      <c r="Z31" s="11"/>
      <c r="AA31" s="100"/>
      <c r="AB31" s="100"/>
      <c r="AC31" s="11"/>
      <c r="AD31" s="11"/>
      <c r="AE31" s="11"/>
      <c r="AF31" s="11"/>
      <c r="AG31" s="11"/>
      <c r="AH31" s="11"/>
      <c r="AI31" s="11"/>
      <c r="AJ31" s="11"/>
      <c r="AK31" s="11"/>
      <c r="AL31" s="52"/>
      <c r="AM31" s="53"/>
      <c r="AN31" s="53">
        <f t="shared" si="1"/>
        <v>9</v>
      </c>
      <c r="AO31" s="77">
        <f t="shared" si="2"/>
        <v>-10</v>
      </c>
      <c r="AP31" s="54">
        <f t="shared" si="0"/>
        <v>0</v>
      </c>
      <c r="AQ31" s="77">
        <f t="shared" si="3"/>
        <v>-10</v>
      </c>
      <c r="AR31" s="54">
        <f t="shared" si="4"/>
        <v>0.01</v>
      </c>
      <c r="AS31" s="15"/>
      <c r="AT31" s="15"/>
      <c r="AU31" s="16"/>
      <c r="AV31" s="17"/>
      <c r="AW31" s="16"/>
      <c r="AX31" s="15"/>
      <c r="AY31" s="19"/>
      <c r="AZ31" s="15"/>
      <c r="BA31" s="18"/>
      <c r="BB31" s="17"/>
      <c r="BC31" s="17"/>
      <c r="BD31" s="17"/>
      <c r="BE31" s="6"/>
    </row>
    <row r="32" spans="1:57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00"/>
      <c r="AB32" s="100"/>
      <c r="AC32" s="11"/>
      <c r="AD32" s="11"/>
      <c r="AE32" s="11"/>
      <c r="AF32" s="11"/>
      <c r="AG32" s="11"/>
      <c r="AH32" s="11"/>
      <c r="AI32" s="11"/>
      <c r="AJ32" s="11"/>
      <c r="AK32" s="11"/>
      <c r="AL32" s="57"/>
      <c r="AM32" s="80"/>
      <c r="AN32" s="80">
        <f t="shared" si="1"/>
        <v>9</v>
      </c>
      <c r="AO32" s="81">
        <f t="shared" si="2"/>
        <v>-10</v>
      </c>
      <c r="AP32" s="82">
        <f t="shared" si="0"/>
        <v>0</v>
      </c>
      <c r="AQ32" s="81">
        <f t="shared" si="3"/>
        <v>-10</v>
      </c>
      <c r="AR32" s="82">
        <f t="shared" si="4"/>
        <v>0.01</v>
      </c>
      <c r="AS32" s="15"/>
      <c r="AT32" s="15"/>
      <c r="AU32" s="16"/>
      <c r="AV32" s="17"/>
      <c r="AW32" s="16"/>
      <c r="AX32" s="15"/>
      <c r="AY32" s="19"/>
      <c r="AZ32" s="15"/>
      <c r="BA32" s="18"/>
      <c r="BB32" s="17"/>
      <c r="BC32" s="17"/>
      <c r="BD32" s="17"/>
      <c r="BE32" s="6"/>
    </row>
    <row r="33" spans="1:57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00"/>
      <c r="AB33" s="100"/>
      <c r="AC33" s="11"/>
      <c r="AD33" s="11"/>
      <c r="AE33" s="11"/>
      <c r="AF33" s="11"/>
      <c r="AG33" s="11"/>
      <c r="AH33" s="11"/>
      <c r="AI33" s="11"/>
      <c r="AJ33" s="11"/>
      <c r="AK33" s="11"/>
      <c r="AL33" s="52"/>
      <c r="AM33" s="53"/>
      <c r="AN33" s="53">
        <f t="shared" si="1"/>
        <v>9</v>
      </c>
      <c r="AO33" s="77">
        <f t="shared" si="2"/>
        <v>-10</v>
      </c>
      <c r="AP33" s="54">
        <f t="shared" si="0"/>
        <v>0</v>
      </c>
      <c r="AQ33" s="77">
        <f t="shared" si="3"/>
        <v>-10</v>
      </c>
      <c r="AR33" s="54">
        <f t="shared" si="4"/>
        <v>0.01</v>
      </c>
      <c r="AS33" s="15"/>
      <c r="AT33" s="15"/>
      <c r="AU33" s="16"/>
      <c r="AV33" s="17"/>
      <c r="AW33" s="16"/>
      <c r="AX33" s="15"/>
      <c r="AY33" s="19"/>
      <c r="AZ33" s="15"/>
      <c r="BA33" s="18"/>
      <c r="BB33" s="17"/>
      <c r="BC33" s="17"/>
      <c r="BD33" s="17"/>
      <c r="BE33" s="6"/>
    </row>
    <row r="34" spans="1:57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00"/>
      <c r="AB34" s="100"/>
      <c r="AC34" s="11"/>
      <c r="AD34" s="11"/>
      <c r="AE34" s="11"/>
      <c r="AF34" s="11"/>
      <c r="AG34" s="11"/>
      <c r="AH34" s="11"/>
      <c r="AI34" s="11"/>
      <c r="AJ34" s="11"/>
      <c r="AK34" s="11"/>
      <c r="AL34" s="57"/>
      <c r="AM34" s="80"/>
      <c r="AN34" s="80">
        <f t="shared" si="1"/>
        <v>9</v>
      </c>
      <c r="AO34" s="81">
        <f t="shared" si="2"/>
        <v>-10</v>
      </c>
      <c r="AP34" s="82">
        <f t="shared" si="0"/>
        <v>0</v>
      </c>
      <c r="AQ34" s="81">
        <f t="shared" si="3"/>
        <v>-10</v>
      </c>
      <c r="AR34" s="82">
        <f t="shared" si="4"/>
        <v>0.01</v>
      </c>
      <c r="AS34" s="15"/>
      <c r="AT34" s="15"/>
      <c r="AU34" s="16"/>
      <c r="AV34" s="17"/>
      <c r="AW34" s="16"/>
      <c r="AX34" s="15"/>
      <c r="AY34" s="19"/>
      <c r="AZ34" s="15"/>
      <c r="BA34" s="18"/>
      <c r="BB34" s="17"/>
      <c r="BC34" s="17"/>
      <c r="BD34" s="17"/>
      <c r="BE34" s="6"/>
    </row>
    <row r="35" spans="1:57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00"/>
      <c r="AB35" s="100"/>
      <c r="AC35" s="11"/>
      <c r="AD35" s="11"/>
      <c r="AE35" s="11"/>
      <c r="AF35" s="11"/>
      <c r="AG35" s="11"/>
      <c r="AH35" s="11"/>
      <c r="AI35" s="11"/>
      <c r="AJ35" s="11"/>
      <c r="AK35" s="11"/>
      <c r="AL35" s="52"/>
      <c r="AM35" s="53"/>
      <c r="AN35" s="53">
        <f t="shared" si="1"/>
        <v>9</v>
      </c>
      <c r="AO35" s="77">
        <f t="shared" si="2"/>
        <v>-10</v>
      </c>
      <c r="AP35" s="54">
        <f t="shared" si="0"/>
        <v>0</v>
      </c>
      <c r="AQ35" s="77">
        <f t="shared" si="3"/>
        <v>-10</v>
      </c>
      <c r="AR35" s="54">
        <f t="shared" si="4"/>
        <v>0.01</v>
      </c>
      <c r="AS35" s="15"/>
      <c r="AT35" s="15"/>
      <c r="AU35" s="16"/>
      <c r="AV35" s="17"/>
      <c r="AW35" s="16"/>
      <c r="AX35" s="15"/>
      <c r="AY35" s="19"/>
      <c r="AZ35" s="15"/>
      <c r="BA35" s="18"/>
      <c r="BB35" s="17"/>
      <c r="BC35" s="17"/>
      <c r="BD35" s="17"/>
      <c r="BE35" s="6"/>
    </row>
    <row r="36" spans="1:57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00"/>
      <c r="AB36" s="100"/>
      <c r="AC36" s="11"/>
      <c r="AD36" s="11"/>
      <c r="AE36" s="11"/>
      <c r="AF36" s="11"/>
      <c r="AG36" s="11"/>
      <c r="AH36" s="11"/>
      <c r="AI36" s="11"/>
      <c r="AJ36" s="11"/>
      <c r="AK36" s="11"/>
      <c r="AL36" s="57"/>
      <c r="AM36" s="80"/>
      <c r="AN36" s="80">
        <f t="shared" si="1"/>
        <v>9</v>
      </c>
      <c r="AO36" s="81">
        <f t="shared" si="2"/>
        <v>-10</v>
      </c>
      <c r="AP36" s="82">
        <f t="shared" si="0"/>
        <v>0</v>
      </c>
      <c r="AQ36" s="81">
        <f t="shared" si="3"/>
        <v>-10</v>
      </c>
      <c r="AR36" s="82">
        <f t="shared" si="4"/>
        <v>0.01</v>
      </c>
      <c r="AS36" s="15"/>
      <c r="AT36" s="15"/>
      <c r="AU36" s="16"/>
      <c r="AV36" s="17"/>
      <c r="AW36" s="16"/>
      <c r="AX36" s="15"/>
      <c r="AY36" s="19"/>
      <c r="AZ36" s="15"/>
      <c r="BA36" s="18"/>
      <c r="BB36" s="17"/>
      <c r="BC36" s="17"/>
      <c r="BD36" s="17"/>
      <c r="BE36" s="6"/>
    </row>
    <row r="37" spans="1:57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00"/>
      <c r="AB37" s="100"/>
      <c r="AC37" s="11"/>
      <c r="AD37" s="11"/>
      <c r="AE37" s="11"/>
      <c r="AF37" s="11"/>
      <c r="AG37" s="11"/>
      <c r="AH37" s="11"/>
      <c r="AI37" s="11"/>
      <c r="AJ37" s="11"/>
      <c r="AK37" s="11"/>
      <c r="AL37" s="52"/>
      <c r="AM37" s="53"/>
      <c r="AN37" s="53">
        <f t="shared" si="1"/>
        <v>9</v>
      </c>
      <c r="AO37" s="77">
        <f t="shared" si="2"/>
        <v>-10</v>
      </c>
      <c r="AP37" s="54">
        <f t="shared" si="0"/>
        <v>0</v>
      </c>
      <c r="AQ37" s="77">
        <f t="shared" si="3"/>
        <v>-10</v>
      </c>
      <c r="AR37" s="54">
        <f t="shared" si="4"/>
        <v>0.01</v>
      </c>
      <c r="AS37" s="15"/>
      <c r="AT37" s="15"/>
      <c r="AU37" s="16"/>
      <c r="AV37" s="17"/>
      <c r="AW37" s="16"/>
      <c r="AX37" s="15"/>
      <c r="AY37" s="19"/>
      <c r="AZ37" s="15"/>
      <c r="BA37" s="18"/>
      <c r="BB37" s="17"/>
      <c r="BC37" s="17"/>
      <c r="BD37" s="17"/>
      <c r="BE37" s="6"/>
    </row>
    <row r="38" spans="1:57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00"/>
      <c r="AB38" s="100"/>
      <c r="AC38" s="11"/>
      <c r="AD38" s="11"/>
      <c r="AE38" s="11"/>
      <c r="AF38" s="11"/>
      <c r="AG38" s="11"/>
      <c r="AH38" s="11"/>
      <c r="AI38" s="11"/>
      <c r="AJ38" s="11"/>
      <c r="AK38" s="11"/>
      <c r="AL38" s="57"/>
      <c r="AM38" s="80"/>
      <c r="AN38" s="80">
        <f t="shared" si="1"/>
        <v>9</v>
      </c>
      <c r="AO38" s="81">
        <f t="shared" si="2"/>
        <v>-10</v>
      </c>
      <c r="AP38" s="82">
        <f t="shared" si="0"/>
        <v>0</v>
      </c>
      <c r="AQ38" s="81">
        <f t="shared" si="3"/>
        <v>-10</v>
      </c>
      <c r="AR38" s="82">
        <f t="shared" si="4"/>
        <v>0.01</v>
      </c>
      <c r="AS38" s="15"/>
      <c r="AT38" s="15"/>
      <c r="AU38" s="16"/>
      <c r="AV38" s="17"/>
      <c r="AW38" s="16"/>
      <c r="AX38" s="15"/>
      <c r="AY38" s="19"/>
      <c r="AZ38" s="15"/>
      <c r="BA38" s="18"/>
      <c r="BB38" s="17"/>
      <c r="BC38" s="17"/>
      <c r="BD38" s="17"/>
      <c r="BE38" s="6"/>
    </row>
    <row r="39" spans="1:57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00"/>
      <c r="AB39" s="100"/>
      <c r="AC39" s="11"/>
      <c r="AD39" s="11"/>
      <c r="AE39" s="11"/>
      <c r="AF39" s="11"/>
      <c r="AG39" s="11"/>
      <c r="AH39" s="11"/>
      <c r="AI39" s="11"/>
      <c r="AJ39" s="11"/>
      <c r="AK39" s="11"/>
      <c r="AL39" s="52"/>
      <c r="AM39" s="53"/>
      <c r="AN39" s="53">
        <f t="shared" si="1"/>
        <v>9</v>
      </c>
      <c r="AO39" s="77">
        <f t="shared" si="2"/>
        <v>-10</v>
      </c>
      <c r="AP39" s="54">
        <f t="shared" si="0"/>
        <v>0</v>
      </c>
      <c r="AQ39" s="77">
        <f t="shared" si="3"/>
        <v>-10</v>
      </c>
      <c r="AR39" s="54">
        <f t="shared" si="4"/>
        <v>0.01</v>
      </c>
      <c r="AS39" s="15"/>
      <c r="AT39" s="15"/>
      <c r="AU39" s="16"/>
      <c r="AV39" s="17"/>
      <c r="AW39" s="16"/>
      <c r="AX39" s="15"/>
      <c r="AY39" s="19"/>
      <c r="AZ39" s="15"/>
      <c r="BA39" s="18"/>
      <c r="BB39" s="17"/>
      <c r="BC39" s="17"/>
      <c r="BD39" s="17"/>
      <c r="BE39" s="6"/>
    </row>
    <row r="40" spans="1:57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00"/>
      <c r="AB40" s="100"/>
      <c r="AC40" s="11"/>
      <c r="AD40" s="11"/>
      <c r="AE40" s="11"/>
      <c r="AF40" s="11"/>
      <c r="AG40" s="11"/>
      <c r="AH40" s="11"/>
      <c r="AI40" s="11"/>
      <c r="AJ40" s="11"/>
      <c r="AK40" s="11"/>
      <c r="AL40" s="57"/>
      <c r="AM40" s="80"/>
      <c r="AN40" s="80">
        <f t="shared" si="1"/>
        <v>9</v>
      </c>
      <c r="AO40" s="81">
        <f t="shared" si="2"/>
        <v>-10</v>
      </c>
      <c r="AP40" s="82">
        <f t="shared" si="0"/>
        <v>0</v>
      </c>
      <c r="AQ40" s="81">
        <f t="shared" si="3"/>
        <v>-10</v>
      </c>
      <c r="AR40" s="82">
        <f t="shared" si="4"/>
        <v>0.01</v>
      </c>
      <c r="AS40" s="15"/>
      <c r="AT40" s="15"/>
      <c r="AU40" s="16"/>
      <c r="AV40" s="17"/>
      <c r="AW40" s="16"/>
      <c r="AX40" s="15"/>
      <c r="AY40" s="19"/>
      <c r="AZ40" s="15"/>
      <c r="BA40" s="18"/>
      <c r="BB40" s="17"/>
      <c r="BC40" s="17"/>
      <c r="BD40" s="17"/>
      <c r="BE40" s="6"/>
    </row>
    <row r="41" spans="1:57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00"/>
      <c r="AB41" s="100"/>
      <c r="AC41" s="11"/>
      <c r="AD41" s="11"/>
      <c r="AE41" s="11"/>
      <c r="AF41" s="11"/>
      <c r="AG41" s="11"/>
      <c r="AH41" s="11"/>
      <c r="AI41" s="11"/>
      <c r="AJ41" s="11"/>
      <c r="AK41" s="11"/>
      <c r="AL41" s="52"/>
      <c r="AM41" s="53"/>
      <c r="AN41" s="53">
        <f t="shared" si="1"/>
        <v>9</v>
      </c>
      <c r="AO41" s="77">
        <f t="shared" si="2"/>
        <v>-10</v>
      </c>
      <c r="AP41" s="54">
        <f t="shared" si="0"/>
        <v>0</v>
      </c>
      <c r="AQ41" s="77">
        <f t="shared" si="3"/>
        <v>-10</v>
      </c>
      <c r="AR41" s="54">
        <f t="shared" si="4"/>
        <v>0.01</v>
      </c>
      <c r="AS41" s="15"/>
      <c r="AT41" s="15"/>
      <c r="AU41" s="16"/>
      <c r="AV41" s="17"/>
      <c r="AW41" s="16"/>
      <c r="AX41" s="15"/>
      <c r="AY41" s="19"/>
      <c r="AZ41" s="15"/>
      <c r="BA41" s="18"/>
      <c r="BB41" s="17"/>
      <c r="BC41" s="17"/>
      <c r="BD41" s="17"/>
      <c r="BE41" s="6"/>
    </row>
    <row r="42" spans="1:57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00"/>
      <c r="AB42" s="100"/>
      <c r="AC42" s="11"/>
      <c r="AD42" s="11"/>
      <c r="AE42" s="11"/>
      <c r="AF42" s="11"/>
      <c r="AG42" s="11"/>
      <c r="AH42" s="11"/>
      <c r="AI42" s="11"/>
      <c r="AJ42" s="11"/>
      <c r="AK42" s="11"/>
      <c r="AL42" s="57"/>
      <c r="AM42" s="80"/>
      <c r="AN42" s="80">
        <f t="shared" si="1"/>
        <v>9</v>
      </c>
      <c r="AO42" s="81">
        <f t="shared" si="2"/>
        <v>-10</v>
      </c>
      <c r="AP42" s="82">
        <f t="shared" si="0"/>
        <v>0</v>
      </c>
      <c r="AQ42" s="81">
        <f t="shared" si="3"/>
        <v>-10</v>
      </c>
      <c r="AR42" s="82">
        <f t="shared" si="4"/>
        <v>0.01</v>
      </c>
      <c r="AS42" s="15"/>
      <c r="AT42" s="15"/>
      <c r="AU42" s="16"/>
      <c r="AV42" s="17"/>
      <c r="AW42" s="16"/>
      <c r="AX42" s="15"/>
      <c r="AY42" s="19"/>
      <c r="AZ42" s="15"/>
      <c r="BA42" s="18"/>
      <c r="BB42" s="17"/>
      <c r="BC42" s="17"/>
      <c r="BD42" s="17"/>
      <c r="BE42" s="6"/>
    </row>
    <row r="43" spans="1:57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00"/>
      <c r="AB43" s="100"/>
      <c r="AC43" s="11"/>
      <c r="AD43" s="11"/>
      <c r="AE43" s="11"/>
      <c r="AF43" s="11"/>
      <c r="AG43" s="11"/>
      <c r="AH43" s="11"/>
      <c r="AI43" s="11"/>
      <c r="AJ43" s="11"/>
      <c r="AK43" s="11"/>
      <c r="AL43" s="52"/>
      <c r="AM43" s="53"/>
      <c r="AN43" s="53">
        <f t="shared" si="1"/>
        <v>9</v>
      </c>
      <c r="AO43" s="77">
        <f t="shared" si="2"/>
        <v>-10</v>
      </c>
      <c r="AP43" s="54">
        <f t="shared" si="0"/>
        <v>0</v>
      </c>
      <c r="AQ43" s="77">
        <f t="shared" si="3"/>
        <v>-10</v>
      </c>
      <c r="AR43" s="54">
        <f t="shared" si="4"/>
        <v>0.01</v>
      </c>
      <c r="AS43" s="15"/>
      <c r="AT43" s="15"/>
      <c r="AU43" s="16"/>
      <c r="AV43" s="17"/>
      <c r="AW43" s="16"/>
      <c r="AX43" s="15"/>
      <c r="AY43" s="19"/>
      <c r="AZ43" s="15"/>
      <c r="BA43" s="18"/>
      <c r="BB43" s="17"/>
      <c r="BC43" s="17"/>
      <c r="BD43" s="17"/>
      <c r="BE43" s="6"/>
    </row>
    <row r="44" spans="1:57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00"/>
      <c r="AB44" s="100"/>
      <c r="AC44" s="11"/>
      <c r="AD44" s="11"/>
      <c r="AE44" s="11"/>
      <c r="AF44" s="11"/>
      <c r="AG44" s="11"/>
      <c r="AH44" s="11"/>
      <c r="AI44" s="11"/>
      <c r="AJ44" s="11"/>
      <c r="AK44" s="11"/>
      <c r="AL44" s="57"/>
      <c r="AM44" s="80"/>
      <c r="AN44" s="80">
        <f t="shared" si="1"/>
        <v>9</v>
      </c>
      <c r="AO44" s="81">
        <f t="shared" si="2"/>
        <v>-10</v>
      </c>
      <c r="AP44" s="82">
        <f t="shared" si="0"/>
        <v>0</v>
      </c>
      <c r="AQ44" s="81">
        <f t="shared" si="3"/>
        <v>-10</v>
      </c>
      <c r="AR44" s="82">
        <f t="shared" si="4"/>
        <v>0.01</v>
      </c>
      <c r="AS44" s="15"/>
      <c r="AT44" s="15"/>
      <c r="AU44" s="16"/>
      <c r="AV44" s="17"/>
      <c r="AW44" s="16"/>
      <c r="AX44" s="15"/>
      <c r="AY44" s="19"/>
      <c r="AZ44" s="15"/>
      <c r="BA44" s="18"/>
      <c r="BB44" s="17"/>
      <c r="BC44" s="17"/>
      <c r="BD44" s="17"/>
      <c r="BE44" s="6"/>
    </row>
    <row r="45" spans="1:57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00"/>
      <c r="AB45" s="100"/>
      <c r="AC45" s="11"/>
      <c r="AD45" s="11"/>
      <c r="AE45" s="11"/>
      <c r="AF45" s="11"/>
      <c r="AG45" s="11"/>
      <c r="AH45" s="11"/>
      <c r="AI45" s="11"/>
      <c r="AJ45" s="11"/>
      <c r="AK45" s="11"/>
      <c r="AL45" s="52"/>
      <c r="AM45" s="53"/>
      <c r="AN45" s="53">
        <f t="shared" si="1"/>
        <v>9</v>
      </c>
      <c r="AO45" s="77">
        <f t="shared" si="2"/>
        <v>-10</v>
      </c>
      <c r="AP45" s="54">
        <f t="shared" si="0"/>
        <v>0</v>
      </c>
      <c r="AQ45" s="77">
        <f t="shared" si="3"/>
        <v>-10</v>
      </c>
      <c r="AR45" s="54">
        <f t="shared" si="4"/>
        <v>0.01</v>
      </c>
      <c r="AS45" s="15"/>
      <c r="AT45" s="15"/>
      <c r="AU45" s="16"/>
      <c r="AV45" s="17"/>
      <c r="AW45" s="16"/>
      <c r="AX45" s="15"/>
      <c r="AY45" s="19"/>
      <c r="AZ45" s="15"/>
      <c r="BA45" s="18"/>
      <c r="BB45" s="17"/>
      <c r="BC45" s="17"/>
      <c r="BD45" s="17"/>
      <c r="BE45" s="6"/>
    </row>
    <row r="46" spans="1:57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00"/>
      <c r="AB46" s="100"/>
      <c r="AC46" s="11"/>
      <c r="AD46" s="11"/>
      <c r="AE46" s="11"/>
      <c r="AF46" s="11"/>
      <c r="AG46" s="11"/>
      <c r="AH46" s="11"/>
      <c r="AI46" s="11"/>
      <c r="AJ46" s="11"/>
      <c r="AK46" s="11"/>
      <c r="AL46" s="57"/>
      <c r="AM46" s="80"/>
      <c r="AN46" s="80">
        <f t="shared" si="1"/>
        <v>9</v>
      </c>
      <c r="AO46" s="81">
        <f t="shared" si="2"/>
        <v>-10</v>
      </c>
      <c r="AP46" s="82">
        <f t="shared" si="0"/>
        <v>0</v>
      </c>
      <c r="AQ46" s="81">
        <f t="shared" si="3"/>
        <v>-10</v>
      </c>
      <c r="AR46" s="82">
        <f t="shared" si="4"/>
        <v>0.01</v>
      </c>
      <c r="AS46" s="15"/>
      <c r="AT46" s="15"/>
      <c r="AU46" s="16"/>
      <c r="AV46" s="17"/>
      <c r="AW46" s="16"/>
      <c r="AX46" s="15"/>
      <c r="AY46" s="19"/>
      <c r="AZ46" s="15"/>
      <c r="BA46" s="18"/>
      <c r="BB46" s="17"/>
      <c r="BC46" s="17"/>
      <c r="BD46" s="17"/>
      <c r="BE46" s="6"/>
    </row>
    <row r="47" spans="1:57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00"/>
      <c r="AB47" s="100"/>
      <c r="AC47" s="11"/>
      <c r="AD47" s="11"/>
      <c r="AE47" s="11"/>
      <c r="AF47" s="11"/>
      <c r="AG47" s="11"/>
      <c r="AH47" s="11"/>
      <c r="AI47" s="11"/>
      <c r="AJ47" s="11"/>
      <c r="AK47" s="11"/>
      <c r="AL47" s="52"/>
      <c r="AM47" s="53"/>
      <c r="AN47" s="53">
        <f t="shared" si="1"/>
        <v>9</v>
      </c>
      <c r="AO47" s="77">
        <f t="shared" si="2"/>
        <v>-10</v>
      </c>
      <c r="AP47" s="54">
        <f t="shared" si="0"/>
        <v>0</v>
      </c>
      <c r="AQ47" s="77">
        <f t="shared" si="3"/>
        <v>-10</v>
      </c>
      <c r="AR47" s="54">
        <f t="shared" si="4"/>
        <v>0.01</v>
      </c>
      <c r="AS47" s="15"/>
      <c r="AT47" s="15"/>
      <c r="AU47" s="16"/>
      <c r="AV47" s="17"/>
      <c r="AW47" s="16"/>
      <c r="AX47" s="15"/>
      <c r="AY47" s="19"/>
      <c r="AZ47" s="15"/>
      <c r="BA47" s="18"/>
      <c r="BB47" s="17"/>
      <c r="BC47" s="17"/>
      <c r="BD47" s="17"/>
      <c r="BE47" s="6"/>
    </row>
    <row r="48" spans="1:57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00"/>
      <c r="AB48" s="100"/>
      <c r="AC48" s="11"/>
      <c r="AD48" s="11"/>
      <c r="AE48" s="11"/>
      <c r="AF48" s="11"/>
      <c r="AG48" s="11"/>
      <c r="AH48" s="11"/>
      <c r="AI48" s="11"/>
      <c r="AJ48" s="11"/>
      <c r="AK48" s="11"/>
      <c r="AL48" s="57"/>
      <c r="AM48" s="80"/>
      <c r="AN48" s="80">
        <f t="shared" si="1"/>
        <v>9</v>
      </c>
      <c r="AO48" s="81">
        <f t="shared" si="2"/>
        <v>-10</v>
      </c>
      <c r="AP48" s="82">
        <f t="shared" si="0"/>
        <v>0</v>
      </c>
      <c r="AQ48" s="81">
        <f t="shared" si="3"/>
        <v>-10</v>
      </c>
      <c r="AR48" s="82">
        <f t="shared" si="4"/>
        <v>0.01</v>
      </c>
      <c r="AS48" s="15"/>
      <c r="AT48" s="15"/>
      <c r="AU48" s="16"/>
      <c r="AV48" s="17"/>
      <c r="AW48" s="16"/>
      <c r="AX48" s="15"/>
      <c r="AY48" s="19"/>
      <c r="AZ48" s="15"/>
      <c r="BA48" s="18"/>
      <c r="BB48" s="17"/>
      <c r="BC48" s="17"/>
      <c r="BD48" s="17"/>
      <c r="BE48" s="6"/>
    </row>
    <row r="49" spans="1:57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00"/>
      <c r="AB49" s="100"/>
      <c r="AC49" s="11"/>
      <c r="AD49" s="11"/>
      <c r="AE49" s="11"/>
      <c r="AF49" s="11"/>
      <c r="AG49" s="11"/>
      <c r="AH49" s="11"/>
      <c r="AI49" s="11"/>
      <c r="AJ49" s="11"/>
      <c r="AK49" s="11"/>
      <c r="AL49" s="52"/>
      <c r="AM49" s="53"/>
      <c r="AN49" s="53">
        <f t="shared" si="1"/>
        <v>9</v>
      </c>
      <c r="AO49" s="77">
        <f t="shared" si="2"/>
        <v>-10</v>
      </c>
      <c r="AP49" s="54">
        <f t="shared" si="0"/>
        <v>0</v>
      </c>
      <c r="AQ49" s="77">
        <f t="shared" si="3"/>
        <v>-10</v>
      </c>
      <c r="AR49" s="54">
        <f t="shared" si="4"/>
        <v>0.01</v>
      </c>
      <c r="AS49" s="15"/>
      <c r="AT49" s="15"/>
      <c r="AU49" s="16"/>
      <c r="AV49" s="17"/>
      <c r="AW49" s="16"/>
      <c r="AX49" s="15"/>
      <c r="AY49" s="19"/>
      <c r="AZ49" s="15"/>
      <c r="BA49" s="18"/>
      <c r="BB49" s="17"/>
      <c r="BC49" s="17"/>
      <c r="BD49" s="17"/>
      <c r="BE49" s="6"/>
    </row>
    <row r="50" spans="1:57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00"/>
      <c r="AB50" s="100"/>
      <c r="AC50" s="11"/>
      <c r="AD50" s="11"/>
      <c r="AE50" s="11"/>
      <c r="AF50" s="11"/>
      <c r="AG50" s="11"/>
      <c r="AH50" s="11"/>
      <c r="AI50" s="11"/>
      <c r="AJ50" s="11"/>
      <c r="AK50" s="11"/>
      <c r="AL50" s="57"/>
      <c r="AM50" s="80"/>
      <c r="AN50" s="80">
        <f t="shared" si="1"/>
        <v>9</v>
      </c>
      <c r="AO50" s="81">
        <f t="shared" si="2"/>
        <v>-10</v>
      </c>
      <c r="AP50" s="82">
        <f t="shared" si="0"/>
        <v>0</v>
      </c>
      <c r="AQ50" s="81">
        <f t="shared" si="3"/>
        <v>-10</v>
      </c>
      <c r="AR50" s="82">
        <f t="shared" si="4"/>
        <v>0.01</v>
      </c>
      <c r="AS50" s="15"/>
      <c r="AT50" s="15"/>
      <c r="AU50" s="16"/>
      <c r="AV50" s="17"/>
      <c r="AW50" s="16"/>
      <c r="AX50" s="15"/>
      <c r="AY50" s="19"/>
      <c r="AZ50" s="15"/>
      <c r="BA50" s="18"/>
      <c r="BB50" s="17"/>
      <c r="BC50" s="17"/>
      <c r="BD50" s="17"/>
      <c r="BE50" s="6"/>
    </row>
    <row r="51" spans="1:57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00"/>
      <c r="AB51" s="100"/>
      <c r="AC51" s="11"/>
      <c r="AD51" s="11"/>
      <c r="AE51" s="11"/>
      <c r="AF51" s="11"/>
      <c r="AG51" s="11"/>
      <c r="AH51" s="11"/>
      <c r="AI51" s="11"/>
      <c r="AJ51" s="11"/>
      <c r="AK51" s="11"/>
      <c r="AL51" s="52"/>
      <c r="AM51" s="53"/>
      <c r="AN51" s="53">
        <f t="shared" si="1"/>
        <v>9</v>
      </c>
      <c r="AO51" s="77">
        <f t="shared" si="2"/>
        <v>-10</v>
      </c>
      <c r="AP51" s="54">
        <f t="shared" si="0"/>
        <v>0</v>
      </c>
      <c r="AQ51" s="77">
        <f t="shared" si="3"/>
        <v>-10</v>
      </c>
      <c r="AR51" s="54">
        <f t="shared" si="4"/>
        <v>0.01</v>
      </c>
      <c r="AS51" s="15"/>
      <c r="AT51" s="15"/>
      <c r="AU51" s="16"/>
      <c r="AV51" s="17"/>
      <c r="AW51" s="16"/>
      <c r="AX51" s="15"/>
      <c r="AY51" s="19"/>
      <c r="AZ51" s="15"/>
      <c r="BA51" s="18"/>
      <c r="BB51" s="17"/>
      <c r="BC51" s="17"/>
      <c r="BD51" s="17"/>
      <c r="BE51" s="6"/>
    </row>
    <row r="52" spans="1:57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00"/>
      <c r="AB52" s="100"/>
      <c r="AC52" s="11"/>
      <c r="AD52" s="11"/>
      <c r="AE52" s="11"/>
      <c r="AF52" s="11"/>
      <c r="AG52" s="11"/>
      <c r="AH52" s="11"/>
      <c r="AI52" s="11"/>
      <c r="AJ52" s="11"/>
      <c r="AK52" s="11"/>
      <c r="AL52" s="57"/>
      <c r="AM52" s="80"/>
      <c r="AN52" s="80">
        <f t="shared" si="1"/>
        <v>9</v>
      </c>
      <c r="AO52" s="81">
        <f t="shared" si="2"/>
        <v>-10</v>
      </c>
      <c r="AP52" s="82">
        <f t="shared" si="0"/>
        <v>0</v>
      </c>
      <c r="AQ52" s="81">
        <f t="shared" si="3"/>
        <v>-10</v>
      </c>
      <c r="AR52" s="82">
        <f t="shared" si="4"/>
        <v>0.01</v>
      </c>
      <c r="AS52" s="15"/>
      <c r="AT52" s="15"/>
      <c r="AU52" s="16"/>
      <c r="AV52" s="17"/>
      <c r="AW52" s="16"/>
      <c r="AX52" s="15"/>
      <c r="AY52" s="19"/>
      <c r="AZ52" s="15"/>
      <c r="BA52" s="18"/>
      <c r="BB52" s="17"/>
      <c r="BC52" s="17"/>
      <c r="BD52" s="17"/>
      <c r="BE52" s="6"/>
    </row>
    <row r="53" spans="1:57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00"/>
      <c r="AB53" s="100"/>
      <c r="AC53" s="11"/>
      <c r="AD53" s="11"/>
      <c r="AE53" s="11"/>
      <c r="AF53" s="11"/>
      <c r="AG53" s="11"/>
      <c r="AH53" s="11"/>
      <c r="AI53" s="11"/>
      <c r="AJ53" s="11"/>
      <c r="AK53" s="11"/>
      <c r="AL53" s="52"/>
      <c r="AM53" s="53"/>
      <c r="AN53" s="53">
        <f t="shared" si="1"/>
        <v>9</v>
      </c>
      <c r="AO53" s="77">
        <f t="shared" si="2"/>
        <v>-10</v>
      </c>
      <c r="AP53" s="54">
        <f t="shared" si="0"/>
        <v>0</v>
      </c>
      <c r="AQ53" s="77">
        <f t="shared" si="3"/>
        <v>-10</v>
      </c>
      <c r="AR53" s="54">
        <f t="shared" si="4"/>
        <v>0.01</v>
      </c>
      <c r="AS53" s="15"/>
      <c r="AT53" s="15"/>
      <c r="AU53" s="16"/>
      <c r="AV53" s="17"/>
      <c r="AW53" s="16"/>
      <c r="AX53" s="15"/>
      <c r="AY53" s="19"/>
      <c r="AZ53" s="15"/>
      <c r="BA53" s="18"/>
      <c r="BB53" s="17"/>
      <c r="BC53" s="17"/>
      <c r="BD53" s="17"/>
      <c r="BE53" s="6"/>
    </row>
    <row r="54" spans="1:57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00"/>
      <c r="AB54" s="100"/>
      <c r="AC54" s="11"/>
      <c r="AD54" s="11"/>
      <c r="AE54" s="11"/>
      <c r="AF54" s="11"/>
      <c r="AG54" s="11"/>
      <c r="AH54" s="11"/>
      <c r="AI54" s="11"/>
      <c r="AJ54" s="11"/>
      <c r="AK54" s="11"/>
      <c r="AL54" s="57"/>
      <c r="AM54" s="80"/>
      <c r="AN54" s="80">
        <f t="shared" si="1"/>
        <v>9</v>
      </c>
      <c r="AO54" s="81">
        <f t="shared" si="2"/>
        <v>-10</v>
      </c>
      <c r="AP54" s="82">
        <f t="shared" si="0"/>
        <v>0</v>
      </c>
      <c r="AQ54" s="81">
        <f t="shared" si="3"/>
        <v>-10</v>
      </c>
      <c r="AR54" s="82">
        <f t="shared" si="4"/>
        <v>0.01</v>
      </c>
      <c r="AS54" s="15"/>
      <c r="AT54" s="15"/>
      <c r="AU54" s="16"/>
      <c r="AV54" s="17"/>
      <c r="AW54" s="16"/>
      <c r="AX54" s="15"/>
      <c r="AY54" s="19"/>
      <c r="AZ54" s="15"/>
      <c r="BA54" s="18"/>
      <c r="BB54" s="17"/>
      <c r="BC54" s="17"/>
      <c r="BD54" s="17"/>
      <c r="BE54" s="6"/>
    </row>
    <row r="55" spans="1:57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00"/>
      <c r="AB55" s="100"/>
      <c r="AC55" s="11"/>
      <c r="AD55" s="11"/>
      <c r="AE55" s="11"/>
      <c r="AF55" s="11"/>
      <c r="AG55" s="11"/>
      <c r="AH55" s="11"/>
      <c r="AI55" s="11"/>
      <c r="AJ55" s="11"/>
      <c r="AK55" s="11"/>
      <c r="AL55" s="52"/>
      <c r="AM55" s="53"/>
      <c r="AN55" s="53">
        <f t="shared" si="1"/>
        <v>9</v>
      </c>
      <c r="AO55" s="77">
        <f t="shared" si="2"/>
        <v>-10</v>
      </c>
      <c r="AP55" s="54">
        <f t="shared" si="0"/>
        <v>0</v>
      </c>
      <c r="AQ55" s="77">
        <f t="shared" si="3"/>
        <v>-10</v>
      </c>
      <c r="AR55" s="54">
        <f t="shared" si="4"/>
        <v>0.01</v>
      </c>
      <c r="AS55" s="15"/>
      <c r="AT55" s="15"/>
      <c r="AU55" s="16"/>
      <c r="AV55" s="17"/>
      <c r="AW55" s="16"/>
      <c r="AX55" s="15"/>
      <c r="AY55" s="19"/>
      <c r="AZ55" s="15"/>
      <c r="BA55" s="18"/>
      <c r="BB55" s="17"/>
      <c r="BC55" s="17"/>
      <c r="BD55" s="17"/>
      <c r="BE55" s="6"/>
    </row>
    <row r="56" spans="1:57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00"/>
      <c r="AB56" s="100"/>
      <c r="AC56" s="11"/>
      <c r="AD56" s="11"/>
      <c r="AE56" s="11"/>
      <c r="AF56" s="11"/>
      <c r="AG56" s="11"/>
      <c r="AH56" s="11"/>
      <c r="AI56" s="11"/>
      <c r="AJ56" s="11"/>
      <c r="AK56" s="11"/>
      <c r="AL56" s="57"/>
      <c r="AM56" s="80"/>
      <c r="AN56" s="80">
        <f t="shared" si="1"/>
        <v>9</v>
      </c>
      <c r="AO56" s="81">
        <f t="shared" si="2"/>
        <v>-10</v>
      </c>
      <c r="AP56" s="82">
        <f t="shared" si="0"/>
        <v>0</v>
      </c>
      <c r="AQ56" s="81">
        <f t="shared" si="3"/>
        <v>-10</v>
      </c>
      <c r="AR56" s="82">
        <f t="shared" si="4"/>
        <v>0.01</v>
      </c>
      <c r="AS56" s="15"/>
      <c r="AT56" s="15"/>
      <c r="AU56" s="16"/>
      <c r="AV56" s="17"/>
      <c r="AW56" s="16"/>
      <c r="AX56" s="15"/>
      <c r="AY56" s="19"/>
      <c r="AZ56" s="15"/>
      <c r="BA56" s="18"/>
      <c r="BB56" s="17"/>
      <c r="BC56" s="17"/>
      <c r="BD56" s="17"/>
      <c r="BE56" s="6"/>
    </row>
    <row r="57" spans="1:57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00"/>
      <c r="AB57" s="100"/>
      <c r="AC57" s="11"/>
      <c r="AD57" s="11"/>
      <c r="AE57" s="11"/>
      <c r="AF57" s="11"/>
      <c r="AG57" s="11"/>
      <c r="AH57" s="11"/>
      <c r="AI57" s="11"/>
      <c r="AJ57" s="11"/>
      <c r="AK57" s="11"/>
      <c r="AL57" s="52"/>
      <c r="AM57" s="53"/>
      <c r="AN57" s="53">
        <f t="shared" si="1"/>
        <v>9</v>
      </c>
      <c r="AO57" s="77">
        <f t="shared" si="2"/>
        <v>-10</v>
      </c>
      <c r="AP57" s="54">
        <f t="shared" si="0"/>
        <v>0</v>
      </c>
      <c r="AQ57" s="77">
        <f t="shared" si="3"/>
        <v>-10</v>
      </c>
      <c r="AR57" s="54">
        <f t="shared" si="4"/>
        <v>0.01</v>
      </c>
      <c r="AS57" s="15"/>
      <c r="AT57" s="15"/>
      <c r="AU57" s="16"/>
      <c r="AV57" s="17"/>
      <c r="AW57" s="16"/>
      <c r="AX57" s="15"/>
      <c r="AY57" s="19"/>
      <c r="AZ57" s="15"/>
      <c r="BA57" s="18"/>
      <c r="BB57" s="17"/>
      <c r="BC57" s="17"/>
      <c r="BD57" s="17"/>
      <c r="BE57" s="6"/>
    </row>
    <row r="58" spans="1:57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00"/>
      <c r="AB58" s="100"/>
      <c r="AC58" s="11"/>
      <c r="AD58" s="11"/>
      <c r="AE58" s="11"/>
      <c r="AF58" s="11"/>
      <c r="AG58" s="11"/>
      <c r="AH58" s="11"/>
      <c r="AI58" s="11"/>
      <c r="AJ58" s="11"/>
      <c r="AK58" s="11"/>
      <c r="AL58" s="57"/>
      <c r="AM58" s="80"/>
      <c r="AN58" s="80">
        <f t="shared" si="1"/>
        <v>9</v>
      </c>
      <c r="AO58" s="81">
        <f t="shared" si="2"/>
        <v>-10</v>
      </c>
      <c r="AP58" s="82">
        <f t="shared" si="0"/>
        <v>0</v>
      </c>
      <c r="AQ58" s="81">
        <f t="shared" si="3"/>
        <v>-10</v>
      </c>
      <c r="AR58" s="82">
        <f t="shared" si="4"/>
        <v>0.01</v>
      </c>
      <c r="AS58" s="15"/>
      <c r="AT58" s="15"/>
      <c r="AU58" s="16"/>
      <c r="AV58" s="17"/>
      <c r="AW58" s="16"/>
      <c r="AX58" s="15"/>
      <c r="AY58" s="19"/>
      <c r="AZ58" s="15"/>
      <c r="BA58" s="18"/>
      <c r="BB58" s="17"/>
      <c r="BC58" s="17"/>
      <c r="BD58" s="17"/>
      <c r="BE58" s="6"/>
    </row>
    <row r="59" spans="1:57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00"/>
      <c r="AB59" s="100"/>
      <c r="AC59" s="11"/>
      <c r="AD59" s="11"/>
      <c r="AE59" s="11"/>
      <c r="AF59" s="11"/>
      <c r="AG59" s="11"/>
      <c r="AH59" s="11"/>
      <c r="AI59" s="11"/>
      <c r="AJ59" s="11"/>
      <c r="AK59" s="11"/>
      <c r="AL59" s="52"/>
      <c r="AM59" s="53"/>
      <c r="AN59" s="53">
        <f t="shared" si="1"/>
        <v>9</v>
      </c>
      <c r="AO59" s="77">
        <f t="shared" si="2"/>
        <v>-10</v>
      </c>
      <c r="AP59" s="54">
        <f t="shared" si="0"/>
        <v>0</v>
      </c>
      <c r="AQ59" s="77">
        <f t="shared" si="3"/>
        <v>-10</v>
      </c>
      <c r="AR59" s="54">
        <f t="shared" si="4"/>
        <v>0.01</v>
      </c>
      <c r="AS59" s="15"/>
      <c r="AT59" s="15"/>
      <c r="AU59" s="16"/>
      <c r="AV59" s="17"/>
      <c r="AW59" s="16"/>
      <c r="AX59" s="15"/>
      <c r="AY59" s="19"/>
      <c r="AZ59" s="15"/>
      <c r="BA59" s="18"/>
      <c r="BB59" s="17"/>
      <c r="BC59" s="17"/>
      <c r="BD59" s="17"/>
      <c r="BE59" s="6"/>
    </row>
    <row r="60" spans="1:57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00"/>
      <c r="AB60" s="100"/>
      <c r="AC60" s="11"/>
      <c r="AD60" s="11"/>
      <c r="AE60" s="11"/>
      <c r="AF60" s="11"/>
      <c r="AG60" s="11"/>
      <c r="AH60" s="11"/>
      <c r="AI60" s="11"/>
      <c r="AJ60" s="11"/>
      <c r="AK60" s="11"/>
      <c r="AL60" s="57"/>
      <c r="AM60" s="80"/>
      <c r="AN60" s="80">
        <f t="shared" si="1"/>
        <v>9</v>
      </c>
      <c r="AO60" s="81">
        <f t="shared" si="2"/>
        <v>-10</v>
      </c>
      <c r="AP60" s="82">
        <f t="shared" si="0"/>
        <v>0</v>
      </c>
      <c r="AQ60" s="81">
        <f t="shared" si="3"/>
        <v>-10</v>
      </c>
      <c r="AR60" s="82">
        <f t="shared" si="4"/>
        <v>0.01</v>
      </c>
      <c r="AS60" s="15"/>
      <c r="AT60" s="15"/>
      <c r="AU60" s="16"/>
      <c r="AV60" s="17"/>
      <c r="AW60" s="16"/>
      <c r="AX60" s="15"/>
      <c r="AY60" s="19"/>
      <c r="AZ60" s="15"/>
      <c r="BA60" s="18"/>
      <c r="BB60" s="17"/>
      <c r="BC60" s="17"/>
      <c r="BD60" s="17"/>
      <c r="BE60" s="6"/>
    </row>
    <row r="61" spans="1:57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00"/>
      <c r="AB61" s="100"/>
      <c r="AC61" s="11"/>
      <c r="AD61" s="11"/>
      <c r="AE61" s="11"/>
      <c r="AF61" s="11"/>
      <c r="AG61" s="11"/>
      <c r="AH61" s="11"/>
      <c r="AI61" s="11"/>
      <c r="AJ61" s="11"/>
      <c r="AK61" s="11"/>
      <c r="AL61" s="52"/>
      <c r="AM61" s="53"/>
      <c r="AN61" s="53">
        <f t="shared" si="1"/>
        <v>9</v>
      </c>
      <c r="AO61" s="77">
        <f t="shared" si="2"/>
        <v>-10</v>
      </c>
      <c r="AP61" s="54">
        <f t="shared" si="0"/>
        <v>0</v>
      </c>
      <c r="AQ61" s="77">
        <f t="shared" si="3"/>
        <v>-10</v>
      </c>
      <c r="AR61" s="54">
        <f t="shared" si="4"/>
        <v>0.01</v>
      </c>
      <c r="AS61" s="15"/>
      <c r="AT61" s="15"/>
      <c r="AU61" s="16"/>
      <c r="AV61" s="17"/>
      <c r="AW61" s="16"/>
      <c r="AX61" s="15"/>
      <c r="AY61" s="19"/>
      <c r="AZ61" s="15"/>
      <c r="BA61" s="18"/>
      <c r="BB61" s="17"/>
      <c r="BC61" s="17"/>
      <c r="BD61" s="17"/>
      <c r="BE61" s="6"/>
    </row>
    <row r="62" spans="1:57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00"/>
      <c r="AB62" s="100"/>
      <c r="AC62" s="11"/>
      <c r="AD62" s="11"/>
      <c r="AE62" s="11"/>
      <c r="AF62" s="11"/>
      <c r="AG62" s="11"/>
      <c r="AH62" s="11"/>
      <c r="AI62" s="11"/>
      <c r="AJ62" s="11"/>
      <c r="AK62" s="11"/>
      <c r="AL62" s="57"/>
      <c r="AM62" s="80"/>
      <c r="AN62" s="80">
        <f t="shared" si="1"/>
        <v>9</v>
      </c>
      <c r="AO62" s="81">
        <f t="shared" si="2"/>
        <v>-10</v>
      </c>
      <c r="AP62" s="82">
        <f t="shared" si="0"/>
        <v>0</v>
      </c>
      <c r="AQ62" s="81">
        <f t="shared" si="3"/>
        <v>-10</v>
      </c>
      <c r="AR62" s="82">
        <f t="shared" si="4"/>
        <v>0.01</v>
      </c>
      <c r="AS62" s="15"/>
      <c r="AT62" s="15"/>
      <c r="AU62" s="16"/>
      <c r="AV62" s="17"/>
      <c r="AW62" s="16"/>
      <c r="AX62" s="15"/>
      <c r="AY62" s="19"/>
      <c r="AZ62" s="15"/>
      <c r="BA62" s="18"/>
      <c r="BB62" s="17"/>
      <c r="BC62" s="17"/>
      <c r="BD62" s="17"/>
      <c r="BE62" s="6"/>
    </row>
    <row r="63" spans="1:57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00"/>
      <c r="AB63" s="100"/>
      <c r="AC63" s="11"/>
      <c r="AD63" s="11"/>
      <c r="AE63" s="11"/>
      <c r="AF63" s="11"/>
      <c r="AG63" s="11"/>
      <c r="AH63" s="11"/>
      <c r="AI63" s="11"/>
      <c r="AJ63" s="11"/>
      <c r="AK63" s="11"/>
      <c r="AL63" s="52"/>
      <c r="AM63" s="53"/>
      <c r="AN63" s="53">
        <f t="shared" si="1"/>
        <v>9</v>
      </c>
      <c r="AO63" s="77">
        <f t="shared" si="2"/>
        <v>-10</v>
      </c>
      <c r="AP63" s="54">
        <f t="shared" si="0"/>
        <v>0</v>
      </c>
      <c r="AQ63" s="77">
        <f t="shared" si="3"/>
        <v>-10</v>
      </c>
      <c r="AR63" s="54">
        <f t="shared" si="4"/>
        <v>0.01</v>
      </c>
      <c r="AS63" s="15"/>
      <c r="AT63" s="15"/>
      <c r="AU63" s="16"/>
      <c r="AV63" s="17"/>
      <c r="AW63" s="16"/>
      <c r="AX63" s="15"/>
      <c r="AY63" s="19"/>
      <c r="AZ63" s="15"/>
      <c r="BA63" s="18"/>
      <c r="BB63" s="17"/>
      <c r="BC63" s="17"/>
      <c r="BD63" s="17"/>
      <c r="BE63" s="6"/>
    </row>
    <row r="64" spans="1:57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00"/>
      <c r="AB64" s="100"/>
      <c r="AC64" s="11"/>
      <c r="AD64" s="11"/>
      <c r="AE64" s="11"/>
      <c r="AF64" s="11"/>
      <c r="AG64" s="11"/>
      <c r="AH64" s="11"/>
      <c r="AI64" s="11"/>
      <c r="AJ64" s="11"/>
      <c r="AK64" s="11"/>
      <c r="AL64" s="57"/>
      <c r="AM64" s="80"/>
      <c r="AN64" s="80">
        <f t="shared" si="1"/>
        <v>9</v>
      </c>
      <c r="AO64" s="81">
        <f t="shared" si="2"/>
        <v>-10</v>
      </c>
      <c r="AP64" s="82">
        <f t="shared" si="0"/>
        <v>0</v>
      </c>
      <c r="AQ64" s="81">
        <f t="shared" si="3"/>
        <v>-10</v>
      </c>
      <c r="AR64" s="82">
        <f t="shared" si="4"/>
        <v>0.01</v>
      </c>
      <c r="AS64" s="15"/>
      <c r="AT64" s="15"/>
      <c r="AU64" s="16"/>
      <c r="AV64" s="17"/>
      <c r="AW64" s="16"/>
      <c r="AX64" s="15"/>
      <c r="AY64" s="19"/>
      <c r="AZ64" s="15"/>
      <c r="BA64" s="18"/>
      <c r="BB64" s="17"/>
      <c r="BC64" s="17"/>
      <c r="BD64" s="17"/>
      <c r="BE64" s="6"/>
    </row>
    <row r="65" spans="1:57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00"/>
      <c r="AB65" s="100"/>
      <c r="AC65" s="11"/>
      <c r="AD65" s="11"/>
      <c r="AE65" s="11"/>
      <c r="AF65" s="11"/>
      <c r="AG65" s="11"/>
      <c r="AH65" s="11"/>
      <c r="AI65" s="11"/>
      <c r="AJ65" s="11"/>
      <c r="AK65" s="11"/>
      <c r="AL65" s="52"/>
      <c r="AM65" s="53"/>
      <c r="AN65" s="53">
        <f t="shared" si="1"/>
        <v>9</v>
      </c>
      <c r="AO65" s="77">
        <f t="shared" si="2"/>
        <v>-10</v>
      </c>
      <c r="AP65" s="54">
        <f t="shared" si="0"/>
        <v>0</v>
      </c>
      <c r="AQ65" s="77">
        <f t="shared" si="3"/>
        <v>-10</v>
      </c>
      <c r="AR65" s="54">
        <f t="shared" si="4"/>
        <v>0.01</v>
      </c>
      <c r="AS65" s="15"/>
      <c r="AT65" s="15"/>
      <c r="AU65" s="16"/>
      <c r="AV65" s="17"/>
      <c r="AW65" s="16"/>
      <c r="AX65" s="15"/>
      <c r="AY65" s="19"/>
      <c r="AZ65" s="15"/>
      <c r="BA65" s="18"/>
      <c r="BB65" s="17"/>
      <c r="BC65" s="17"/>
      <c r="BD65" s="17"/>
      <c r="BE65" s="6"/>
    </row>
    <row r="66" spans="1:57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00"/>
      <c r="AB66" s="100"/>
      <c r="AC66" s="11"/>
      <c r="AD66" s="11"/>
      <c r="AE66" s="11"/>
      <c r="AF66" s="11"/>
      <c r="AG66" s="11"/>
      <c r="AH66" s="11"/>
      <c r="AI66" s="11"/>
      <c r="AJ66" s="11"/>
      <c r="AK66" s="11"/>
      <c r="AL66" s="57"/>
      <c r="AM66" s="80"/>
      <c r="AN66" s="80">
        <f t="shared" si="1"/>
        <v>9</v>
      </c>
      <c r="AO66" s="81">
        <f t="shared" si="2"/>
        <v>-10</v>
      </c>
      <c r="AP66" s="82">
        <f t="shared" ref="AP66:AP129" si="5">AR66*(1-(AO66/AQ66))^2</f>
        <v>0</v>
      </c>
      <c r="AQ66" s="81">
        <f t="shared" si="3"/>
        <v>-10</v>
      </c>
      <c r="AR66" s="82">
        <f t="shared" si="4"/>
        <v>0.01</v>
      </c>
      <c r="AS66" s="15"/>
      <c r="AT66" s="15"/>
      <c r="AU66" s="16"/>
      <c r="AV66" s="17"/>
      <c r="AW66" s="16"/>
      <c r="AX66" s="15"/>
      <c r="AY66" s="19"/>
      <c r="AZ66" s="15"/>
      <c r="BA66" s="18"/>
      <c r="BB66" s="17"/>
      <c r="BC66" s="17"/>
      <c r="BD66" s="17"/>
      <c r="BE66" s="6"/>
    </row>
    <row r="67" spans="1:57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00"/>
      <c r="AB67" s="100"/>
      <c r="AC67" s="11"/>
      <c r="AD67" s="11"/>
      <c r="AE67" s="11"/>
      <c r="AF67" s="11"/>
      <c r="AG67" s="11"/>
      <c r="AH67" s="11"/>
      <c r="AI67" s="11"/>
      <c r="AJ67" s="11"/>
      <c r="AK67" s="11"/>
      <c r="AL67" s="52"/>
      <c r="AM67" s="53"/>
      <c r="AN67" s="53">
        <f t="shared" ref="AN67:AN130" si="6">AN66</f>
        <v>9</v>
      </c>
      <c r="AO67" s="77">
        <f t="shared" ref="AO67:AO130" si="7">IF(AO66+(AQ66/AN67)&lt;AQ66,AQ66,AO66+(AQ66/AN67))</f>
        <v>-10</v>
      </c>
      <c r="AP67" s="54">
        <f t="shared" si="5"/>
        <v>0</v>
      </c>
      <c r="AQ67" s="77">
        <f t="shared" ref="AQ67:AQ130" si="8">AQ66</f>
        <v>-10</v>
      </c>
      <c r="AR67" s="54">
        <f t="shared" ref="AR67:AR130" si="9">AR66</f>
        <v>0.01</v>
      </c>
      <c r="AS67" s="15"/>
      <c r="AT67" s="15"/>
      <c r="AU67" s="16"/>
      <c r="AV67" s="17"/>
      <c r="AW67" s="16"/>
      <c r="AX67" s="15"/>
      <c r="AY67" s="19"/>
      <c r="AZ67" s="15"/>
      <c r="BA67" s="18"/>
      <c r="BB67" s="17"/>
      <c r="BC67" s="17"/>
      <c r="BD67" s="17"/>
      <c r="BE67" s="6"/>
    </row>
    <row r="68" spans="1:57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00"/>
      <c r="AB68" s="100"/>
      <c r="AC68" s="11"/>
      <c r="AD68" s="11"/>
      <c r="AE68" s="11"/>
      <c r="AF68" s="11"/>
      <c r="AG68" s="11"/>
      <c r="AH68" s="11"/>
      <c r="AI68" s="11"/>
      <c r="AJ68" s="11"/>
      <c r="AK68" s="11"/>
      <c r="AL68" s="57"/>
      <c r="AM68" s="80"/>
      <c r="AN68" s="80">
        <f t="shared" si="6"/>
        <v>9</v>
      </c>
      <c r="AO68" s="81">
        <f t="shared" si="7"/>
        <v>-10</v>
      </c>
      <c r="AP68" s="82">
        <f t="shared" si="5"/>
        <v>0</v>
      </c>
      <c r="AQ68" s="81">
        <f t="shared" si="8"/>
        <v>-10</v>
      </c>
      <c r="AR68" s="82">
        <f t="shared" si="9"/>
        <v>0.01</v>
      </c>
      <c r="AS68" s="15"/>
      <c r="AT68" s="15"/>
      <c r="AU68" s="16"/>
      <c r="AV68" s="17"/>
      <c r="AW68" s="16"/>
      <c r="AX68" s="15"/>
      <c r="AY68" s="19"/>
      <c r="AZ68" s="15"/>
      <c r="BA68" s="18"/>
      <c r="BB68" s="17"/>
      <c r="BC68" s="17"/>
      <c r="BD68" s="17"/>
      <c r="BE68" s="6"/>
    </row>
    <row r="69" spans="1:57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00"/>
      <c r="AB69" s="100"/>
      <c r="AC69" s="11"/>
      <c r="AD69" s="11"/>
      <c r="AE69" s="11"/>
      <c r="AF69" s="11"/>
      <c r="AG69" s="11"/>
      <c r="AH69" s="11"/>
      <c r="AI69" s="11"/>
      <c r="AJ69" s="11"/>
      <c r="AK69" s="11"/>
      <c r="AL69" s="52"/>
      <c r="AM69" s="53"/>
      <c r="AN69" s="53">
        <f t="shared" si="6"/>
        <v>9</v>
      </c>
      <c r="AO69" s="77">
        <f t="shared" si="7"/>
        <v>-10</v>
      </c>
      <c r="AP69" s="54">
        <f t="shared" si="5"/>
        <v>0</v>
      </c>
      <c r="AQ69" s="77">
        <f t="shared" si="8"/>
        <v>-10</v>
      </c>
      <c r="AR69" s="54">
        <f t="shared" si="9"/>
        <v>0.01</v>
      </c>
      <c r="AS69" s="15"/>
      <c r="AT69" s="15"/>
      <c r="AU69" s="16"/>
      <c r="AV69" s="17"/>
      <c r="AW69" s="16"/>
      <c r="AX69" s="15"/>
      <c r="AY69" s="19"/>
      <c r="AZ69" s="15"/>
      <c r="BA69" s="18"/>
      <c r="BB69" s="17"/>
      <c r="BC69" s="17"/>
      <c r="BD69" s="17"/>
      <c r="BE69" s="6"/>
    </row>
    <row r="70" spans="1:57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00"/>
      <c r="AB70" s="100"/>
      <c r="AC70" s="11"/>
      <c r="AD70" s="11"/>
      <c r="AE70" s="11"/>
      <c r="AF70" s="11"/>
      <c r="AG70" s="11"/>
      <c r="AH70" s="11"/>
      <c r="AI70" s="11"/>
      <c r="AJ70" s="11"/>
      <c r="AK70" s="11"/>
      <c r="AL70" s="57"/>
      <c r="AM70" s="80"/>
      <c r="AN70" s="80">
        <f t="shared" si="6"/>
        <v>9</v>
      </c>
      <c r="AO70" s="81">
        <f t="shared" si="7"/>
        <v>-10</v>
      </c>
      <c r="AP70" s="82">
        <f t="shared" si="5"/>
        <v>0</v>
      </c>
      <c r="AQ70" s="81">
        <f t="shared" si="8"/>
        <v>-10</v>
      </c>
      <c r="AR70" s="82">
        <f t="shared" si="9"/>
        <v>0.01</v>
      </c>
      <c r="AS70" s="15"/>
      <c r="AT70" s="15"/>
      <c r="AU70" s="16"/>
      <c r="AV70" s="17"/>
      <c r="AW70" s="16"/>
      <c r="AX70" s="15"/>
      <c r="AY70" s="19"/>
      <c r="AZ70" s="15"/>
      <c r="BA70" s="18"/>
      <c r="BB70" s="17"/>
      <c r="BC70" s="17"/>
      <c r="BD70" s="17"/>
      <c r="BE70" s="6"/>
    </row>
    <row r="71" spans="1:57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00"/>
      <c r="AB71" s="100"/>
      <c r="AC71" s="11"/>
      <c r="AD71" s="11"/>
      <c r="AE71" s="11"/>
      <c r="AF71" s="11"/>
      <c r="AG71" s="11"/>
      <c r="AH71" s="11"/>
      <c r="AI71" s="11"/>
      <c r="AJ71" s="11"/>
      <c r="AK71" s="11"/>
      <c r="AL71" s="52"/>
      <c r="AM71" s="53"/>
      <c r="AN71" s="53">
        <f t="shared" si="6"/>
        <v>9</v>
      </c>
      <c r="AO71" s="77">
        <f t="shared" si="7"/>
        <v>-10</v>
      </c>
      <c r="AP71" s="54">
        <f t="shared" si="5"/>
        <v>0</v>
      </c>
      <c r="AQ71" s="77">
        <f t="shared" si="8"/>
        <v>-10</v>
      </c>
      <c r="AR71" s="54">
        <f t="shared" si="9"/>
        <v>0.01</v>
      </c>
      <c r="AS71" s="15"/>
      <c r="AT71" s="15"/>
      <c r="AU71" s="16"/>
      <c r="AV71" s="17"/>
      <c r="AW71" s="16"/>
      <c r="AX71" s="15"/>
      <c r="AY71" s="19"/>
      <c r="AZ71" s="15"/>
      <c r="BA71" s="18"/>
      <c r="BB71" s="17"/>
      <c r="BC71" s="17"/>
      <c r="BD71" s="17"/>
      <c r="BE71" s="6"/>
    </row>
    <row r="72" spans="1:57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00"/>
      <c r="AB72" s="100"/>
      <c r="AC72" s="11"/>
      <c r="AD72" s="11"/>
      <c r="AE72" s="11"/>
      <c r="AF72" s="11"/>
      <c r="AG72" s="11"/>
      <c r="AH72" s="11"/>
      <c r="AI72" s="11"/>
      <c r="AJ72" s="11"/>
      <c r="AK72" s="11"/>
      <c r="AL72" s="57"/>
      <c r="AM72" s="80"/>
      <c r="AN72" s="80">
        <f t="shared" si="6"/>
        <v>9</v>
      </c>
      <c r="AO72" s="81">
        <f t="shared" si="7"/>
        <v>-10</v>
      </c>
      <c r="AP72" s="82">
        <f t="shared" si="5"/>
        <v>0</v>
      </c>
      <c r="AQ72" s="81">
        <f t="shared" si="8"/>
        <v>-10</v>
      </c>
      <c r="AR72" s="82">
        <f t="shared" si="9"/>
        <v>0.01</v>
      </c>
      <c r="AS72" s="15"/>
      <c r="AT72" s="15"/>
      <c r="AU72" s="16"/>
      <c r="AV72" s="17"/>
      <c r="AW72" s="16"/>
      <c r="AX72" s="15"/>
      <c r="AY72" s="19"/>
      <c r="AZ72" s="15"/>
      <c r="BA72" s="18"/>
      <c r="BB72" s="17"/>
      <c r="BC72" s="17"/>
      <c r="BD72" s="17"/>
      <c r="BE72" s="6"/>
    </row>
    <row r="73" spans="1:57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00"/>
      <c r="AB73" s="100"/>
      <c r="AC73" s="11"/>
      <c r="AD73" s="11"/>
      <c r="AE73" s="11"/>
      <c r="AF73" s="11"/>
      <c r="AG73" s="11"/>
      <c r="AH73" s="11"/>
      <c r="AI73" s="11"/>
      <c r="AJ73" s="11"/>
      <c r="AK73" s="11"/>
      <c r="AL73" s="52"/>
      <c r="AM73" s="53"/>
      <c r="AN73" s="53">
        <f t="shared" si="6"/>
        <v>9</v>
      </c>
      <c r="AO73" s="77">
        <f t="shared" si="7"/>
        <v>-10</v>
      </c>
      <c r="AP73" s="54">
        <f t="shared" si="5"/>
        <v>0</v>
      </c>
      <c r="AQ73" s="77">
        <f t="shared" si="8"/>
        <v>-10</v>
      </c>
      <c r="AR73" s="54">
        <f t="shared" si="9"/>
        <v>0.01</v>
      </c>
      <c r="AS73" s="15"/>
      <c r="AT73" s="15"/>
      <c r="AU73" s="16"/>
      <c r="AV73" s="17"/>
      <c r="AW73" s="16"/>
      <c r="AX73" s="15"/>
      <c r="AY73" s="19"/>
      <c r="AZ73" s="15"/>
      <c r="BA73" s="18"/>
      <c r="BB73" s="17"/>
      <c r="BC73" s="17"/>
      <c r="BD73" s="17"/>
      <c r="BE73" s="6"/>
    </row>
    <row r="74" spans="1:57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00"/>
      <c r="AB74" s="100"/>
      <c r="AC74" s="11"/>
      <c r="AD74" s="11"/>
      <c r="AE74" s="11"/>
      <c r="AF74" s="11"/>
      <c r="AG74" s="11"/>
      <c r="AH74" s="11"/>
      <c r="AI74" s="11"/>
      <c r="AJ74" s="11"/>
      <c r="AK74" s="11"/>
      <c r="AL74" s="57"/>
      <c r="AM74" s="80"/>
      <c r="AN74" s="80">
        <f t="shared" si="6"/>
        <v>9</v>
      </c>
      <c r="AO74" s="81">
        <f t="shared" si="7"/>
        <v>-10</v>
      </c>
      <c r="AP74" s="82">
        <f t="shared" si="5"/>
        <v>0</v>
      </c>
      <c r="AQ74" s="81">
        <f t="shared" si="8"/>
        <v>-10</v>
      </c>
      <c r="AR74" s="82">
        <f t="shared" si="9"/>
        <v>0.01</v>
      </c>
      <c r="AS74" s="15"/>
      <c r="AT74" s="15"/>
      <c r="AU74" s="16"/>
      <c r="AV74" s="17"/>
      <c r="AW74" s="16"/>
      <c r="AX74" s="15"/>
      <c r="AY74" s="19"/>
      <c r="AZ74" s="15"/>
      <c r="BA74" s="18"/>
      <c r="BB74" s="17"/>
      <c r="BC74" s="17"/>
      <c r="BD74" s="17"/>
      <c r="BE74" s="6"/>
    </row>
    <row r="75" spans="1:57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00"/>
      <c r="AB75" s="100"/>
      <c r="AC75" s="11"/>
      <c r="AD75" s="11"/>
      <c r="AE75" s="11"/>
      <c r="AF75" s="11"/>
      <c r="AG75" s="11"/>
      <c r="AH75" s="11"/>
      <c r="AI75" s="11"/>
      <c r="AJ75" s="11"/>
      <c r="AK75" s="11"/>
      <c r="AL75" s="52"/>
      <c r="AM75" s="53"/>
      <c r="AN75" s="53">
        <f t="shared" si="6"/>
        <v>9</v>
      </c>
      <c r="AO75" s="77">
        <f t="shared" si="7"/>
        <v>-10</v>
      </c>
      <c r="AP75" s="54">
        <f t="shared" si="5"/>
        <v>0</v>
      </c>
      <c r="AQ75" s="77">
        <f t="shared" si="8"/>
        <v>-10</v>
      </c>
      <c r="AR75" s="54">
        <f t="shared" si="9"/>
        <v>0.01</v>
      </c>
      <c r="AS75" s="15"/>
      <c r="AT75" s="15"/>
      <c r="AU75" s="16"/>
      <c r="AV75" s="17"/>
      <c r="AW75" s="16"/>
      <c r="AX75" s="15"/>
      <c r="AY75" s="19"/>
      <c r="AZ75" s="15"/>
      <c r="BA75" s="18"/>
      <c r="BB75" s="17"/>
      <c r="BC75" s="17"/>
      <c r="BD75" s="17"/>
      <c r="BE75" s="6"/>
    </row>
    <row r="76" spans="1:57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00"/>
      <c r="AB76" s="100"/>
      <c r="AC76" s="11"/>
      <c r="AD76" s="11"/>
      <c r="AE76" s="11"/>
      <c r="AF76" s="11"/>
      <c r="AG76" s="11"/>
      <c r="AH76" s="11"/>
      <c r="AI76" s="11"/>
      <c r="AJ76" s="11"/>
      <c r="AK76" s="11"/>
      <c r="AL76" s="57"/>
      <c r="AM76" s="80"/>
      <c r="AN76" s="80">
        <f t="shared" si="6"/>
        <v>9</v>
      </c>
      <c r="AO76" s="81">
        <f t="shared" si="7"/>
        <v>-10</v>
      </c>
      <c r="AP76" s="82">
        <f t="shared" si="5"/>
        <v>0</v>
      </c>
      <c r="AQ76" s="81">
        <f t="shared" si="8"/>
        <v>-10</v>
      </c>
      <c r="AR76" s="82">
        <f t="shared" si="9"/>
        <v>0.01</v>
      </c>
      <c r="AS76" s="15"/>
      <c r="AT76" s="15"/>
      <c r="AU76" s="16"/>
      <c r="AV76" s="17"/>
      <c r="AW76" s="16"/>
      <c r="AX76" s="15"/>
      <c r="AY76" s="19"/>
      <c r="AZ76" s="15"/>
      <c r="BA76" s="18"/>
      <c r="BB76" s="17"/>
      <c r="BC76" s="17"/>
      <c r="BD76" s="17"/>
      <c r="BE76" s="6"/>
    </row>
    <row r="77" spans="1:57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00"/>
      <c r="AB77" s="100"/>
      <c r="AC77" s="11"/>
      <c r="AD77" s="11"/>
      <c r="AE77" s="11"/>
      <c r="AF77" s="11"/>
      <c r="AG77" s="11"/>
      <c r="AH77" s="11"/>
      <c r="AI77" s="11"/>
      <c r="AJ77" s="11"/>
      <c r="AK77" s="11"/>
      <c r="AL77" s="52"/>
      <c r="AM77" s="53"/>
      <c r="AN77" s="53">
        <f t="shared" si="6"/>
        <v>9</v>
      </c>
      <c r="AO77" s="77">
        <f t="shared" si="7"/>
        <v>-10</v>
      </c>
      <c r="AP77" s="54">
        <f t="shared" si="5"/>
        <v>0</v>
      </c>
      <c r="AQ77" s="77">
        <f t="shared" si="8"/>
        <v>-10</v>
      </c>
      <c r="AR77" s="54">
        <f t="shared" si="9"/>
        <v>0.01</v>
      </c>
      <c r="AS77" s="15"/>
      <c r="AT77" s="15"/>
      <c r="AU77" s="16"/>
      <c r="AV77" s="17"/>
      <c r="AW77" s="16"/>
      <c r="AX77" s="15"/>
      <c r="AY77" s="19"/>
      <c r="AZ77" s="15"/>
      <c r="BA77" s="18"/>
      <c r="BB77" s="17"/>
      <c r="BC77" s="17"/>
      <c r="BD77" s="17"/>
      <c r="BE77" s="6"/>
    </row>
    <row r="78" spans="1:57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00"/>
      <c r="AB78" s="100"/>
      <c r="AC78" s="11"/>
      <c r="AD78" s="11"/>
      <c r="AE78" s="11"/>
      <c r="AF78" s="11"/>
      <c r="AG78" s="11"/>
      <c r="AH78" s="11"/>
      <c r="AI78" s="11"/>
      <c r="AJ78" s="11"/>
      <c r="AK78" s="11"/>
      <c r="AL78" s="57"/>
      <c r="AM78" s="80"/>
      <c r="AN78" s="80">
        <f t="shared" si="6"/>
        <v>9</v>
      </c>
      <c r="AO78" s="81">
        <f t="shared" si="7"/>
        <v>-10</v>
      </c>
      <c r="AP78" s="82">
        <f t="shared" si="5"/>
        <v>0</v>
      </c>
      <c r="AQ78" s="81">
        <f t="shared" si="8"/>
        <v>-10</v>
      </c>
      <c r="AR78" s="82">
        <f t="shared" si="9"/>
        <v>0.01</v>
      </c>
      <c r="AS78" s="15"/>
      <c r="AT78" s="15"/>
      <c r="AU78" s="16"/>
      <c r="AV78" s="17"/>
      <c r="AW78" s="16"/>
      <c r="AX78" s="15"/>
      <c r="AY78" s="19"/>
      <c r="AZ78" s="15"/>
      <c r="BA78" s="18"/>
      <c r="BB78" s="17"/>
      <c r="BC78" s="17"/>
      <c r="BD78" s="17"/>
      <c r="BE78" s="6"/>
    </row>
    <row r="79" spans="1:57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00"/>
      <c r="AB79" s="100"/>
      <c r="AC79" s="11"/>
      <c r="AD79" s="11"/>
      <c r="AE79" s="11"/>
      <c r="AF79" s="11"/>
      <c r="AG79" s="11"/>
      <c r="AH79" s="11"/>
      <c r="AI79" s="11"/>
      <c r="AJ79" s="11"/>
      <c r="AK79" s="11"/>
      <c r="AL79" s="52"/>
      <c r="AM79" s="53"/>
      <c r="AN79" s="53">
        <f t="shared" si="6"/>
        <v>9</v>
      </c>
      <c r="AO79" s="77">
        <f t="shared" si="7"/>
        <v>-10</v>
      </c>
      <c r="AP79" s="54">
        <f t="shared" si="5"/>
        <v>0</v>
      </c>
      <c r="AQ79" s="77">
        <f t="shared" si="8"/>
        <v>-10</v>
      </c>
      <c r="AR79" s="54">
        <f t="shared" si="9"/>
        <v>0.01</v>
      </c>
      <c r="AS79" s="15"/>
      <c r="AT79" s="15"/>
      <c r="AU79" s="16"/>
      <c r="AV79" s="17"/>
      <c r="AW79" s="16"/>
      <c r="AX79" s="15"/>
      <c r="AY79" s="19"/>
      <c r="AZ79" s="15"/>
      <c r="BA79" s="18"/>
      <c r="BB79" s="17"/>
      <c r="BC79" s="17"/>
      <c r="BD79" s="17"/>
      <c r="BE79" s="6"/>
    </row>
    <row r="80" spans="1:57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00"/>
      <c r="AB80" s="100"/>
      <c r="AC80" s="11"/>
      <c r="AD80" s="11"/>
      <c r="AE80" s="11"/>
      <c r="AF80" s="11"/>
      <c r="AG80" s="11"/>
      <c r="AH80" s="11"/>
      <c r="AI80" s="11"/>
      <c r="AJ80" s="11"/>
      <c r="AK80" s="11"/>
      <c r="AL80" s="57"/>
      <c r="AM80" s="80"/>
      <c r="AN80" s="80">
        <f t="shared" si="6"/>
        <v>9</v>
      </c>
      <c r="AO80" s="81">
        <f t="shared" si="7"/>
        <v>-10</v>
      </c>
      <c r="AP80" s="82">
        <f t="shared" si="5"/>
        <v>0</v>
      </c>
      <c r="AQ80" s="81">
        <f t="shared" si="8"/>
        <v>-10</v>
      </c>
      <c r="AR80" s="82">
        <f t="shared" si="9"/>
        <v>0.01</v>
      </c>
      <c r="AS80" s="15"/>
      <c r="AT80" s="15"/>
      <c r="AU80" s="16"/>
      <c r="AV80" s="17"/>
      <c r="AW80" s="16"/>
      <c r="AX80" s="15"/>
      <c r="AY80" s="19"/>
      <c r="AZ80" s="15"/>
      <c r="BA80" s="18"/>
      <c r="BB80" s="17"/>
      <c r="BC80" s="17"/>
      <c r="BD80" s="17"/>
      <c r="BE80" s="6"/>
    </row>
    <row r="81" spans="1:57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00"/>
      <c r="AB81" s="100"/>
      <c r="AC81" s="11"/>
      <c r="AD81" s="11"/>
      <c r="AE81" s="11"/>
      <c r="AF81" s="11"/>
      <c r="AG81" s="11"/>
      <c r="AH81" s="11"/>
      <c r="AI81" s="11"/>
      <c r="AJ81" s="11"/>
      <c r="AK81" s="11"/>
      <c r="AL81" s="52"/>
      <c r="AM81" s="53"/>
      <c r="AN81" s="53">
        <f t="shared" si="6"/>
        <v>9</v>
      </c>
      <c r="AO81" s="77">
        <f t="shared" si="7"/>
        <v>-10</v>
      </c>
      <c r="AP81" s="54">
        <f t="shared" si="5"/>
        <v>0</v>
      </c>
      <c r="AQ81" s="77">
        <f t="shared" si="8"/>
        <v>-10</v>
      </c>
      <c r="AR81" s="54">
        <f t="shared" si="9"/>
        <v>0.01</v>
      </c>
      <c r="AS81" s="15"/>
      <c r="AT81" s="15"/>
      <c r="AU81" s="16"/>
      <c r="AV81" s="17"/>
      <c r="AW81" s="16"/>
      <c r="AX81" s="15"/>
      <c r="AY81" s="19"/>
      <c r="AZ81" s="15"/>
      <c r="BA81" s="18"/>
      <c r="BB81" s="17"/>
      <c r="BC81" s="17"/>
      <c r="BD81" s="17"/>
      <c r="BE81" s="6"/>
    </row>
    <row r="82" spans="1:57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00"/>
      <c r="AB82" s="100"/>
      <c r="AC82" s="11"/>
      <c r="AD82" s="11"/>
      <c r="AE82" s="11"/>
      <c r="AF82" s="11"/>
      <c r="AG82" s="11"/>
      <c r="AH82" s="11"/>
      <c r="AI82" s="11"/>
      <c r="AJ82" s="11"/>
      <c r="AK82" s="11"/>
      <c r="AL82" s="57"/>
      <c r="AM82" s="80"/>
      <c r="AN82" s="80">
        <f t="shared" si="6"/>
        <v>9</v>
      </c>
      <c r="AO82" s="81">
        <f t="shared" si="7"/>
        <v>-10</v>
      </c>
      <c r="AP82" s="82">
        <f t="shared" si="5"/>
        <v>0</v>
      </c>
      <c r="AQ82" s="81">
        <f t="shared" si="8"/>
        <v>-10</v>
      </c>
      <c r="AR82" s="82">
        <f t="shared" si="9"/>
        <v>0.01</v>
      </c>
      <c r="AS82" s="15"/>
      <c r="AT82" s="15"/>
      <c r="AU82" s="16"/>
      <c r="AV82" s="17"/>
      <c r="AW82" s="16"/>
      <c r="AX82" s="15"/>
      <c r="AY82" s="19"/>
      <c r="AZ82" s="15"/>
      <c r="BA82" s="18"/>
      <c r="BB82" s="17"/>
      <c r="BC82" s="17"/>
      <c r="BD82" s="17"/>
      <c r="BE82" s="6"/>
    </row>
    <row r="83" spans="1:57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00"/>
      <c r="AB83" s="100"/>
      <c r="AC83" s="11"/>
      <c r="AD83" s="11"/>
      <c r="AE83" s="11"/>
      <c r="AF83" s="11"/>
      <c r="AG83" s="11"/>
      <c r="AH83" s="11"/>
      <c r="AI83" s="11"/>
      <c r="AJ83" s="11"/>
      <c r="AK83" s="11"/>
      <c r="AL83" s="52"/>
      <c r="AM83" s="53"/>
      <c r="AN83" s="53">
        <f t="shared" si="6"/>
        <v>9</v>
      </c>
      <c r="AO83" s="77">
        <f t="shared" si="7"/>
        <v>-10</v>
      </c>
      <c r="AP83" s="54">
        <f t="shared" si="5"/>
        <v>0</v>
      </c>
      <c r="AQ83" s="77">
        <f t="shared" si="8"/>
        <v>-10</v>
      </c>
      <c r="AR83" s="54">
        <f t="shared" si="9"/>
        <v>0.01</v>
      </c>
      <c r="AS83" s="15"/>
      <c r="AT83" s="15"/>
      <c r="AU83" s="16"/>
      <c r="AV83" s="17"/>
      <c r="AW83" s="16"/>
      <c r="AX83" s="15"/>
      <c r="AY83" s="19"/>
      <c r="AZ83" s="15"/>
      <c r="BA83" s="18"/>
      <c r="BB83" s="17"/>
      <c r="BC83" s="17"/>
      <c r="BD83" s="17"/>
      <c r="BE83" s="6"/>
    </row>
    <row r="84" spans="1:57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00"/>
      <c r="AB84" s="100"/>
      <c r="AC84" s="11"/>
      <c r="AD84" s="11"/>
      <c r="AE84" s="11"/>
      <c r="AF84" s="11"/>
      <c r="AG84" s="11"/>
      <c r="AH84" s="11"/>
      <c r="AI84" s="11"/>
      <c r="AJ84" s="11"/>
      <c r="AK84" s="11"/>
      <c r="AL84" s="57"/>
      <c r="AM84" s="80"/>
      <c r="AN84" s="80">
        <f t="shared" si="6"/>
        <v>9</v>
      </c>
      <c r="AO84" s="81">
        <f t="shared" si="7"/>
        <v>-10</v>
      </c>
      <c r="AP84" s="82">
        <f t="shared" si="5"/>
        <v>0</v>
      </c>
      <c r="AQ84" s="81">
        <f t="shared" si="8"/>
        <v>-10</v>
      </c>
      <c r="AR84" s="82">
        <f t="shared" si="9"/>
        <v>0.01</v>
      </c>
      <c r="AS84" s="15"/>
      <c r="AT84" s="15"/>
      <c r="AU84" s="16"/>
      <c r="AV84" s="17"/>
      <c r="AW84" s="16"/>
      <c r="AX84" s="15"/>
      <c r="AY84" s="19"/>
      <c r="AZ84" s="15"/>
      <c r="BA84" s="18"/>
      <c r="BB84" s="17"/>
      <c r="BC84" s="17"/>
      <c r="BD84" s="17"/>
      <c r="BE84" s="6"/>
    </row>
    <row r="85" spans="1:57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00"/>
      <c r="AB85" s="100"/>
      <c r="AC85" s="11"/>
      <c r="AD85" s="11"/>
      <c r="AE85" s="11"/>
      <c r="AF85" s="11"/>
      <c r="AG85" s="11"/>
      <c r="AH85" s="11"/>
      <c r="AI85" s="11"/>
      <c r="AJ85" s="11"/>
      <c r="AK85" s="11"/>
      <c r="AL85" s="52"/>
      <c r="AM85" s="53"/>
      <c r="AN85" s="53">
        <f t="shared" si="6"/>
        <v>9</v>
      </c>
      <c r="AO85" s="77">
        <f t="shared" si="7"/>
        <v>-10</v>
      </c>
      <c r="AP85" s="54">
        <f t="shared" si="5"/>
        <v>0</v>
      </c>
      <c r="AQ85" s="77">
        <f t="shared" si="8"/>
        <v>-10</v>
      </c>
      <c r="AR85" s="54">
        <f t="shared" si="9"/>
        <v>0.01</v>
      </c>
      <c r="AS85" s="15"/>
      <c r="AT85" s="15"/>
      <c r="AU85" s="16"/>
      <c r="AV85" s="17"/>
      <c r="AW85" s="16"/>
      <c r="AX85" s="15"/>
      <c r="AY85" s="19"/>
      <c r="AZ85" s="15"/>
      <c r="BA85" s="18"/>
      <c r="BB85" s="17"/>
      <c r="BC85" s="17"/>
      <c r="BD85" s="17"/>
      <c r="BE85" s="6"/>
    </row>
    <row r="86" spans="1:57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00"/>
      <c r="AB86" s="100"/>
      <c r="AC86" s="11"/>
      <c r="AD86" s="11"/>
      <c r="AE86" s="11"/>
      <c r="AF86" s="11"/>
      <c r="AG86" s="11"/>
      <c r="AH86" s="11"/>
      <c r="AI86" s="11"/>
      <c r="AJ86" s="11"/>
      <c r="AK86" s="11"/>
      <c r="AL86" s="57"/>
      <c r="AM86" s="80"/>
      <c r="AN86" s="80">
        <f t="shared" si="6"/>
        <v>9</v>
      </c>
      <c r="AO86" s="81">
        <f t="shared" si="7"/>
        <v>-10</v>
      </c>
      <c r="AP86" s="82">
        <f t="shared" si="5"/>
        <v>0</v>
      </c>
      <c r="AQ86" s="81">
        <f t="shared" si="8"/>
        <v>-10</v>
      </c>
      <c r="AR86" s="82">
        <f t="shared" si="9"/>
        <v>0.01</v>
      </c>
      <c r="AS86" s="15"/>
      <c r="AT86" s="15"/>
      <c r="AU86" s="16"/>
      <c r="AV86" s="17"/>
      <c r="AW86" s="16"/>
      <c r="AX86" s="15"/>
      <c r="AY86" s="19"/>
      <c r="AZ86" s="15"/>
      <c r="BA86" s="18"/>
      <c r="BB86" s="17"/>
      <c r="BC86" s="17"/>
      <c r="BD86" s="17"/>
      <c r="BE86" s="6"/>
    </row>
    <row r="87" spans="1:57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00"/>
      <c r="AB87" s="100"/>
      <c r="AC87" s="11"/>
      <c r="AD87" s="11"/>
      <c r="AE87" s="11"/>
      <c r="AF87" s="11"/>
      <c r="AG87" s="11"/>
      <c r="AH87" s="11"/>
      <c r="AI87" s="11"/>
      <c r="AJ87" s="11"/>
      <c r="AK87" s="11"/>
      <c r="AL87" s="52"/>
      <c r="AM87" s="53"/>
      <c r="AN87" s="53">
        <f t="shared" si="6"/>
        <v>9</v>
      </c>
      <c r="AO87" s="77">
        <f t="shared" si="7"/>
        <v>-10</v>
      </c>
      <c r="AP87" s="54">
        <f t="shared" si="5"/>
        <v>0</v>
      </c>
      <c r="AQ87" s="77">
        <f t="shared" si="8"/>
        <v>-10</v>
      </c>
      <c r="AR87" s="54">
        <f t="shared" si="9"/>
        <v>0.01</v>
      </c>
      <c r="AS87" s="15"/>
      <c r="AT87" s="15"/>
      <c r="AU87" s="16"/>
      <c r="AV87" s="17"/>
      <c r="AW87" s="16"/>
      <c r="AX87" s="15"/>
      <c r="AY87" s="19"/>
      <c r="AZ87" s="15"/>
      <c r="BA87" s="18"/>
      <c r="BB87" s="17"/>
      <c r="BC87" s="17"/>
      <c r="BD87" s="17"/>
      <c r="BE87" s="6"/>
    </row>
    <row r="88" spans="1:57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00"/>
      <c r="AB88" s="100"/>
      <c r="AC88" s="11"/>
      <c r="AD88" s="11"/>
      <c r="AE88" s="11"/>
      <c r="AF88" s="11"/>
      <c r="AG88" s="11"/>
      <c r="AH88" s="11"/>
      <c r="AI88" s="11"/>
      <c r="AJ88" s="11"/>
      <c r="AK88" s="11"/>
      <c r="AL88" s="57"/>
      <c r="AM88" s="80"/>
      <c r="AN88" s="80">
        <f t="shared" si="6"/>
        <v>9</v>
      </c>
      <c r="AO88" s="81">
        <f t="shared" si="7"/>
        <v>-10</v>
      </c>
      <c r="AP88" s="82">
        <f t="shared" si="5"/>
        <v>0</v>
      </c>
      <c r="AQ88" s="81">
        <f t="shared" si="8"/>
        <v>-10</v>
      </c>
      <c r="AR88" s="82">
        <f t="shared" si="9"/>
        <v>0.01</v>
      </c>
      <c r="AS88" s="15"/>
      <c r="AT88" s="15"/>
      <c r="AU88" s="16"/>
      <c r="AV88" s="17"/>
      <c r="AW88" s="16"/>
      <c r="AX88" s="15"/>
      <c r="AY88" s="19"/>
      <c r="AZ88" s="15"/>
      <c r="BA88" s="18"/>
      <c r="BB88" s="17"/>
      <c r="BC88" s="17"/>
      <c r="BD88" s="17"/>
      <c r="BE88" s="6"/>
    </row>
    <row r="89" spans="1:57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00"/>
      <c r="AB89" s="100"/>
      <c r="AC89" s="11"/>
      <c r="AD89" s="11"/>
      <c r="AE89" s="11"/>
      <c r="AF89" s="11"/>
      <c r="AG89" s="11"/>
      <c r="AH89" s="11"/>
      <c r="AI89" s="11"/>
      <c r="AJ89" s="11"/>
      <c r="AK89" s="11"/>
      <c r="AL89" s="52"/>
      <c r="AM89" s="53"/>
      <c r="AN89" s="53">
        <f t="shared" si="6"/>
        <v>9</v>
      </c>
      <c r="AO89" s="77">
        <f t="shared" si="7"/>
        <v>-10</v>
      </c>
      <c r="AP89" s="54">
        <f t="shared" si="5"/>
        <v>0</v>
      </c>
      <c r="AQ89" s="77">
        <f t="shared" si="8"/>
        <v>-10</v>
      </c>
      <c r="AR89" s="54">
        <f t="shared" si="9"/>
        <v>0.01</v>
      </c>
      <c r="AS89" s="15"/>
      <c r="AT89" s="15"/>
      <c r="AU89" s="16"/>
      <c r="AV89" s="17"/>
      <c r="AW89" s="16"/>
      <c r="AX89" s="15"/>
      <c r="AY89" s="19"/>
      <c r="AZ89" s="15"/>
      <c r="BA89" s="18"/>
      <c r="BB89" s="17"/>
      <c r="BC89" s="17"/>
      <c r="BD89" s="17"/>
      <c r="BE89" s="6"/>
    </row>
    <row r="90" spans="1:57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00"/>
      <c r="AB90" s="100"/>
      <c r="AC90" s="11"/>
      <c r="AD90" s="11"/>
      <c r="AE90" s="11"/>
      <c r="AF90" s="11"/>
      <c r="AG90" s="11"/>
      <c r="AH90" s="11"/>
      <c r="AI90" s="11"/>
      <c r="AJ90" s="11"/>
      <c r="AK90" s="11"/>
      <c r="AL90" s="57"/>
      <c r="AM90" s="80"/>
      <c r="AN90" s="80">
        <f t="shared" si="6"/>
        <v>9</v>
      </c>
      <c r="AO90" s="81">
        <f t="shared" si="7"/>
        <v>-10</v>
      </c>
      <c r="AP90" s="82">
        <f t="shared" si="5"/>
        <v>0</v>
      </c>
      <c r="AQ90" s="81">
        <f t="shared" si="8"/>
        <v>-10</v>
      </c>
      <c r="AR90" s="82">
        <f t="shared" si="9"/>
        <v>0.01</v>
      </c>
      <c r="AS90" s="15"/>
      <c r="AT90" s="15"/>
      <c r="AU90" s="16"/>
      <c r="AV90" s="17"/>
      <c r="AW90" s="16"/>
      <c r="AX90" s="15"/>
      <c r="AY90" s="19"/>
      <c r="AZ90" s="15"/>
      <c r="BA90" s="18"/>
      <c r="BB90" s="17"/>
      <c r="BC90" s="17"/>
      <c r="BD90" s="17"/>
      <c r="BE90" s="6"/>
    </row>
    <row r="91" spans="1:57" x14ac:dyDescent="0.2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00"/>
      <c r="AB91" s="100"/>
      <c r="AC91" s="11"/>
      <c r="AD91" s="11"/>
      <c r="AE91" s="11"/>
      <c r="AF91" s="11"/>
      <c r="AG91" s="11"/>
      <c r="AH91" s="11"/>
      <c r="AI91" s="11"/>
      <c r="AJ91" s="11"/>
      <c r="AK91" s="11"/>
      <c r="AL91" s="52"/>
      <c r="AM91" s="53"/>
      <c r="AN91" s="53">
        <f t="shared" si="6"/>
        <v>9</v>
      </c>
      <c r="AO91" s="77">
        <f t="shared" si="7"/>
        <v>-10</v>
      </c>
      <c r="AP91" s="54">
        <f t="shared" si="5"/>
        <v>0</v>
      </c>
      <c r="AQ91" s="77">
        <f t="shared" si="8"/>
        <v>-10</v>
      </c>
      <c r="AR91" s="54">
        <f t="shared" si="9"/>
        <v>0.01</v>
      </c>
      <c r="AS91" s="15"/>
      <c r="AT91" s="15"/>
      <c r="AU91" s="16"/>
      <c r="AV91" s="17"/>
      <c r="AW91" s="16"/>
      <c r="AX91" s="15"/>
      <c r="AY91" s="19"/>
      <c r="AZ91" s="15"/>
      <c r="BA91" s="18"/>
      <c r="BB91" s="17"/>
      <c r="BC91" s="17"/>
      <c r="BD91" s="17"/>
      <c r="BE91" s="6"/>
    </row>
    <row r="92" spans="1:57" x14ac:dyDescent="0.2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00"/>
      <c r="AB92" s="100"/>
      <c r="AC92" s="11"/>
      <c r="AD92" s="11"/>
      <c r="AE92" s="11"/>
      <c r="AF92" s="11"/>
      <c r="AG92" s="11"/>
      <c r="AH92" s="11"/>
      <c r="AI92" s="11"/>
      <c r="AJ92" s="11"/>
      <c r="AK92" s="11"/>
      <c r="AL92" s="57"/>
      <c r="AM92" s="80"/>
      <c r="AN92" s="80">
        <f t="shared" si="6"/>
        <v>9</v>
      </c>
      <c r="AO92" s="81">
        <f t="shared" si="7"/>
        <v>-10</v>
      </c>
      <c r="AP92" s="82">
        <f t="shared" si="5"/>
        <v>0</v>
      </c>
      <c r="AQ92" s="81">
        <f t="shared" si="8"/>
        <v>-10</v>
      </c>
      <c r="AR92" s="82">
        <f t="shared" si="9"/>
        <v>0.01</v>
      </c>
      <c r="AS92" s="15"/>
      <c r="AT92" s="15"/>
      <c r="AU92" s="16"/>
      <c r="AV92" s="17"/>
      <c r="AW92" s="16"/>
      <c r="AX92" s="15"/>
      <c r="AY92" s="19"/>
      <c r="AZ92" s="15"/>
      <c r="BA92" s="18"/>
      <c r="BB92" s="17"/>
      <c r="BC92" s="17"/>
      <c r="BD92" s="17"/>
      <c r="BE92" s="6"/>
    </row>
    <row r="93" spans="1:57" x14ac:dyDescent="0.2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00"/>
      <c r="AB93" s="100"/>
      <c r="AC93" s="11"/>
      <c r="AD93" s="11"/>
      <c r="AE93" s="11"/>
      <c r="AF93" s="11"/>
      <c r="AG93" s="11"/>
      <c r="AH93" s="11"/>
      <c r="AI93" s="11"/>
      <c r="AJ93" s="11"/>
      <c r="AK93" s="11"/>
      <c r="AL93" s="52"/>
      <c r="AM93" s="53"/>
      <c r="AN93" s="53">
        <f t="shared" si="6"/>
        <v>9</v>
      </c>
      <c r="AO93" s="77">
        <f t="shared" si="7"/>
        <v>-10</v>
      </c>
      <c r="AP93" s="54">
        <f t="shared" si="5"/>
        <v>0</v>
      </c>
      <c r="AQ93" s="77">
        <f t="shared" si="8"/>
        <v>-10</v>
      </c>
      <c r="AR93" s="54">
        <f t="shared" si="9"/>
        <v>0.01</v>
      </c>
      <c r="AS93" s="15"/>
      <c r="AT93" s="15"/>
      <c r="AU93" s="16"/>
      <c r="AV93" s="17"/>
      <c r="AW93" s="16"/>
      <c r="AX93" s="15"/>
      <c r="AY93" s="19"/>
      <c r="AZ93" s="15"/>
      <c r="BA93" s="18"/>
      <c r="BB93" s="17"/>
      <c r="BC93" s="17"/>
      <c r="BD93" s="17"/>
      <c r="BE93" s="6"/>
    </row>
    <row r="94" spans="1:57" x14ac:dyDescent="0.2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00"/>
      <c r="AB94" s="100"/>
      <c r="AC94" s="11"/>
      <c r="AD94" s="11"/>
      <c r="AE94" s="11"/>
      <c r="AF94" s="11"/>
      <c r="AG94" s="11"/>
      <c r="AH94" s="11"/>
      <c r="AI94" s="11"/>
      <c r="AJ94" s="11"/>
      <c r="AK94" s="11"/>
      <c r="AL94" s="57"/>
      <c r="AM94" s="80"/>
      <c r="AN94" s="80">
        <f t="shared" si="6"/>
        <v>9</v>
      </c>
      <c r="AO94" s="81">
        <f t="shared" si="7"/>
        <v>-10</v>
      </c>
      <c r="AP94" s="82">
        <f t="shared" si="5"/>
        <v>0</v>
      </c>
      <c r="AQ94" s="81">
        <f t="shared" si="8"/>
        <v>-10</v>
      </c>
      <c r="AR94" s="82">
        <f t="shared" si="9"/>
        <v>0.01</v>
      </c>
      <c r="AS94" s="15"/>
      <c r="AT94" s="15"/>
      <c r="AU94" s="16"/>
      <c r="AV94" s="17"/>
      <c r="AW94" s="16"/>
      <c r="AX94" s="15"/>
      <c r="AY94" s="19"/>
      <c r="AZ94" s="15"/>
      <c r="BA94" s="18"/>
      <c r="BB94" s="17"/>
      <c r="BC94" s="17"/>
      <c r="BD94" s="17"/>
      <c r="BE94" s="6"/>
    </row>
    <row r="95" spans="1:57" x14ac:dyDescent="0.2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00"/>
      <c r="AB95" s="100"/>
      <c r="AC95" s="11"/>
      <c r="AD95" s="11"/>
      <c r="AE95" s="11"/>
      <c r="AF95" s="11"/>
      <c r="AG95" s="11"/>
      <c r="AH95" s="11"/>
      <c r="AI95" s="11"/>
      <c r="AJ95" s="11"/>
      <c r="AK95" s="11"/>
      <c r="AL95" s="52"/>
      <c r="AM95" s="53"/>
      <c r="AN95" s="53">
        <f t="shared" si="6"/>
        <v>9</v>
      </c>
      <c r="AO95" s="77">
        <f t="shared" si="7"/>
        <v>-10</v>
      </c>
      <c r="AP95" s="54">
        <f t="shared" si="5"/>
        <v>0</v>
      </c>
      <c r="AQ95" s="77">
        <f t="shared" si="8"/>
        <v>-10</v>
      </c>
      <c r="AR95" s="54">
        <f t="shared" si="9"/>
        <v>0.01</v>
      </c>
      <c r="AS95" s="15"/>
      <c r="AT95" s="15"/>
      <c r="AU95" s="16"/>
      <c r="AV95" s="17"/>
      <c r="AW95" s="16"/>
      <c r="AX95" s="15"/>
      <c r="AY95" s="19"/>
      <c r="AZ95" s="15"/>
      <c r="BA95" s="18"/>
      <c r="BB95" s="17"/>
      <c r="BC95" s="17"/>
      <c r="BD95" s="17"/>
      <c r="BE95" s="6"/>
    </row>
    <row r="96" spans="1:57" x14ac:dyDescent="0.2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00"/>
      <c r="AB96" s="100"/>
      <c r="AC96" s="11"/>
      <c r="AD96" s="11"/>
      <c r="AE96" s="11"/>
      <c r="AF96" s="11"/>
      <c r="AG96" s="11"/>
      <c r="AH96" s="11"/>
      <c r="AI96" s="11"/>
      <c r="AJ96" s="11"/>
      <c r="AK96" s="11"/>
      <c r="AL96" s="57"/>
      <c r="AM96" s="80"/>
      <c r="AN96" s="80">
        <f t="shared" si="6"/>
        <v>9</v>
      </c>
      <c r="AO96" s="81">
        <f t="shared" si="7"/>
        <v>-10</v>
      </c>
      <c r="AP96" s="82">
        <f t="shared" si="5"/>
        <v>0</v>
      </c>
      <c r="AQ96" s="81">
        <f t="shared" si="8"/>
        <v>-10</v>
      </c>
      <c r="AR96" s="82">
        <f t="shared" si="9"/>
        <v>0.01</v>
      </c>
      <c r="AS96" s="15"/>
      <c r="AT96" s="15"/>
      <c r="AU96" s="16"/>
      <c r="AV96" s="17"/>
      <c r="AW96" s="16"/>
      <c r="AX96" s="15"/>
      <c r="AY96" s="19"/>
      <c r="AZ96" s="15"/>
      <c r="BA96" s="18"/>
      <c r="BB96" s="17"/>
      <c r="BC96" s="17"/>
      <c r="BD96" s="17"/>
      <c r="BE96" s="6"/>
    </row>
    <row r="97" spans="1:57" x14ac:dyDescent="0.2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00"/>
      <c r="AB97" s="100"/>
      <c r="AC97" s="11"/>
      <c r="AD97" s="11"/>
      <c r="AE97" s="11"/>
      <c r="AF97" s="11"/>
      <c r="AG97" s="11"/>
      <c r="AH97" s="11"/>
      <c r="AI97" s="11"/>
      <c r="AJ97" s="11"/>
      <c r="AK97" s="11"/>
      <c r="AL97" s="52"/>
      <c r="AM97" s="53"/>
      <c r="AN97" s="53">
        <f t="shared" si="6"/>
        <v>9</v>
      </c>
      <c r="AO97" s="77">
        <f t="shared" si="7"/>
        <v>-10</v>
      </c>
      <c r="AP97" s="54">
        <f t="shared" si="5"/>
        <v>0</v>
      </c>
      <c r="AQ97" s="77">
        <f t="shared" si="8"/>
        <v>-10</v>
      </c>
      <c r="AR97" s="54">
        <f t="shared" si="9"/>
        <v>0.01</v>
      </c>
      <c r="AS97" s="15"/>
      <c r="AT97" s="15"/>
      <c r="AU97" s="16"/>
      <c r="AV97" s="17"/>
      <c r="AW97" s="16"/>
      <c r="AX97" s="15"/>
      <c r="AY97" s="19"/>
      <c r="AZ97" s="15"/>
      <c r="BA97" s="18"/>
      <c r="BB97" s="17"/>
      <c r="BC97" s="17"/>
      <c r="BD97" s="17"/>
      <c r="BE97" s="6"/>
    </row>
    <row r="98" spans="1:57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00"/>
      <c r="AB98" s="100"/>
      <c r="AC98" s="11"/>
      <c r="AD98" s="11"/>
      <c r="AE98" s="11"/>
      <c r="AF98" s="11"/>
      <c r="AG98" s="11"/>
      <c r="AH98" s="11"/>
      <c r="AI98" s="11"/>
      <c r="AJ98" s="11"/>
      <c r="AK98" s="11"/>
      <c r="AL98" s="57"/>
      <c r="AM98" s="80"/>
      <c r="AN98" s="80">
        <f t="shared" si="6"/>
        <v>9</v>
      </c>
      <c r="AO98" s="81">
        <f t="shared" si="7"/>
        <v>-10</v>
      </c>
      <c r="AP98" s="82">
        <f t="shared" si="5"/>
        <v>0</v>
      </c>
      <c r="AQ98" s="81">
        <f t="shared" si="8"/>
        <v>-10</v>
      </c>
      <c r="AR98" s="82">
        <f t="shared" si="9"/>
        <v>0.01</v>
      </c>
      <c r="AS98" s="15"/>
      <c r="AT98" s="15"/>
      <c r="AU98" s="16"/>
      <c r="AV98" s="17"/>
      <c r="AW98" s="16"/>
      <c r="AX98" s="15"/>
      <c r="AY98" s="19"/>
      <c r="AZ98" s="15"/>
      <c r="BA98" s="18"/>
      <c r="BB98" s="17"/>
      <c r="BC98" s="17"/>
      <c r="BD98" s="17"/>
      <c r="BE98" s="6"/>
    </row>
    <row r="99" spans="1:57" x14ac:dyDescent="0.2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00"/>
      <c r="AB99" s="100"/>
      <c r="AC99" s="11"/>
      <c r="AD99" s="11"/>
      <c r="AE99" s="11"/>
      <c r="AF99" s="11"/>
      <c r="AG99" s="11"/>
      <c r="AH99" s="11"/>
      <c r="AI99" s="11"/>
      <c r="AJ99" s="11"/>
      <c r="AK99" s="11"/>
      <c r="AL99" s="52"/>
      <c r="AM99" s="53"/>
      <c r="AN99" s="53">
        <f t="shared" si="6"/>
        <v>9</v>
      </c>
      <c r="AO99" s="77">
        <f t="shared" si="7"/>
        <v>-10</v>
      </c>
      <c r="AP99" s="54">
        <f t="shared" si="5"/>
        <v>0</v>
      </c>
      <c r="AQ99" s="77">
        <f t="shared" si="8"/>
        <v>-10</v>
      </c>
      <c r="AR99" s="54">
        <f t="shared" si="9"/>
        <v>0.01</v>
      </c>
      <c r="AS99" s="15"/>
      <c r="AT99" s="15"/>
      <c r="AU99" s="16"/>
      <c r="AV99" s="17"/>
      <c r="AW99" s="16"/>
      <c r="AX99" s="15"/>
      <c r="AY99" s="19"/>
      <c r="AZ99" s="15"/>
      <c r="BA99" s="18"/>
      <c r="BB99" s="17"/>
      <c r="BC99" s="17"/>
      <c r="BD99" s="17"/>
      <c r="BE99" s="6"/>
    </row>
    <row r="100" spans="1:57" x14ac:dyDescent="0.25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00"/>
      <c r="AB100" s="100"/>
      <c r="AC100" s="11"/>
      <c r="AD100" s="11"/>
      <c r="AE100" s="11"/>
      <c r="AF100" s="11"/>
      <c r="AG100" s="11"/>
      <c r="AH100" s="11"/>
      <c r="AI100" s="11"/>
      <c r="AJ100" s="11"/>
      <c r="AK100" s="11"/>
      <c r="AL100" s="57"/>
      <c r="AM100" s="80"/>
      <c r="AN100" s="80">
        <f t="shared" si="6"/>
        <v>9</v>
      </c>
      <c r="AO100" s="81">
        <f t="shared" si="7"/>
        <v>-10</v>
      </c>
      <c r="AP100" s="82">
        <f t="shared" si="5"/>
        <v>0</v>
      </c>
      <c r="AQ100" s="81">
        <f t="shared" si="8"/>
        <v>-10</v>
      </c>
      <c r="AR100" s="82">
        <f t="shared" si="9"/>
        <v>0.01</v>
      </c>
      <c r="AS100" s="15"/>
      <c r="AT100" s="15"/>
      <c r="AU100" s="16"/>
      <c r="AV100" s="17"/>
      <c r="AW100" s="16"/>
      <c r="AX100" s="15"/>
      <c r="AY100" s="19"/>
      <c r="AZ100" s="15"/>
      <c r="BA100" s="18"/>
      <c r="BB100" s="17"/>
      <c r="BC100" s="17"/>
      <c r="BD100" s="17"/>
      <c r="BE100" s="6"/>
    </row>
    <row r="101" spans="1:57" x14ac:dyDescent="0.25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00"/>
      <c r="AB101" s="100"/>
      <c r="AC101" s="11"/>
      <c r="AD101" s="11"/>
      <c r="AE101" s="11"/>
      <c r="AF101" s="11"/>
      <c r="AG101" s="11"/>
      <c r="AH101" s="11"/>
      <c r="AI101" s="11"/>
      <c r="AJ101" s="11"/>
      <c r="AK101" s="11"/>
      <c r="AL101" s="52"/>
      <c r="AM101" s="53"/>
      <c r="AN101" s="53">
        <f t="shared" si="6"/>
        <v>9</v>
      </c>
      <c r="AO101" s="77">
        <f t="shared" si="7"/>
        <v>-10</v>
      </c>
      <c r="AP101" s="54">
        <f t="shared" si="5"/>
        <v>0</v>
      </c>
      <c r="AQ101" s="77">
        <f t="shared" si="8"/>
        <v>-10</v>
      </c>
      <c r="AR101" s="54">
        <f t="shared" si="9"/>
        <v>0.01</v>
      </c>
      <c r="AS101" s="15"/>
      <c r="AT101" s="15"/>
      <c r="AU101" s="16"/>
      <c r="AV101" s="17"/>
      <c r="AW101" s="16"/>
      <c r="AX101" s="15"/>
      <c r="AY101" s="19"/>
      <c r="AZ101" s="15"/>
      <c r="BA101" s="18"/>
      <c r="BB101" s="17"/>
      <c r="BC101" s="17"/>
      <c r="BD101" s="17"/>
      <c r="BE101" s="6"/>
    </row>
    <row r="102" spans="1:57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00"/>
      <c r="AB102" s="100"/>
      <c r="AC102" s="11"/>
      <c r="AD102" s="11"/>
      <c r="AE102" s="11"/>
      <c r="AF102" s="11"/>
      <c r="AG102" s="11"/>
      <c r="AH102" s="11"/>
      <c r="AI102" s="11"/>
      <c r="AJ102" s="11"/>
      <c r="AK102" s="11"/>
      <c r="AL102" s="57"/>
      <c r="AM102" s="80"/>
      <c r="AN102" s="80">
        <f t="shared" si="6"/>
        <v>9</v>
      </c>
      <c r="AO102" s="81">
        <f t="shared" si="7"/>
        <v>-10</v>
      </c>
      <c r="AP102" s="82">
        <f t="shared" si="5"/>
        <v>0</v>
      </c>
      <c r="AQ102" s="81">
        <f t="shared" si="8"/>
        <v>-10</v>
      </c>
      <c r="AR102" s="82">
        <f t="shared" si="9"/>
        <v>0.01</v>
      </c>
      <c r="AS102" s="15"/>
      <c r="AT102" s="15"/>
      <c r="AU102" s="16"/>
      <c r="AV102" s="17"/>
      <c r="AW102" s="16"/>
      <c r="AX102" s="15"/>
      <c r="AY102" s="19"/>
      <c r="AZ102" s="15"/>
      <c r="BA102" s="18"/>
      <c r="BB102" s="17"/>
      <c r="BC102" s="17"/>
      <c r="BD102" s="17"/>
      <c r="BE102" s="6"/>
    </row>
    <row r="103" spans="1:57" x14ac:dyDescent="0.25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00"/>
      <c r="AB103" s="100"/>
      <c r="AC103" s="11"/>
      <c r="AD103" s="11"/>
      <c r="AE103" s="11"/>
      <c r="AF103" s="11"/>
      <c r="AG103" s="11"/>
      <c r="AH103" s="11"/>
      <c r="AI103" s="11"/>
      <c r="AJ103" s="11"/>
      <c r="AK103" s="11"/>
      <c r="AL103" s="52"/>
      <c r="AM103" s="53"/>
      <c r="AN103" s="53">
        <f t="shared" si="6"/>
        <v>9</v>
      </c>
      <c r="AO103" s="77">
        <f t="shared" si="7"/>
        <v>-10</v>
      </c>
      <c r="AP103" s="54">
        <f t="shared" si="5"/>
        <v>0</v>
      </c>
      <c r="AQ103" s="77">
        <f t="shared" si="8"/>
        <v>-10</v>
      </c>
      <c r="AR103" s="54">
        <f t="shared" si="9"/>
        <v>0.01</v>
      </c>
      <c r="AS103" s="15"/>
      <c r="AT103" s="15"/>
      <c r="AU103" s="16"/>
      <c r="AV103" s="17"/>
      <c r="AW103" s="16"/>
      <c r="AX103" s="15"/>
      <c r="AY103" s="19"/>
      <c r="AZ103" s="15"/>
      <c r="BA103" s="18"/>
      <c r="BB103" s="17"/>
      <c r="BC103" s="17"/>
      <c r="BD103" s="17"/>
      <c r="BE103" s="6"/>
    </row>
    <row r="104" spans="1:57" x14ac:dyDescent="0.25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00"/>
      <c r="AB104" s="100"/>
      <c r="AC104" s="11"/>
      <c r="AD104" s="11"/>
      <c r="AE104" s="11"/>
      <c r="AF104" s="11"/>
      <c r="AG104" s="11"/>
      <c r="AH104" s="11"/>
      <c r="AI104" s="11"/>
      <c r="AJ104" s="11"/>
      <c r="AK104" s="11"/>
      <c r="AL104" s="57"/>
      <c r="AM104" s="80"/>
      <c r="AN104" s="80">
        <f t="shared" si="6"/>
        <v>9</v>
      </c>
      <c r="AO104" s="81">
        <f t="shared" si="7"/>
        <v>-10</v>
      </c>
      <c r="AP104" s="82">
        <f t="shared" si="5"/>
        <v>0</v>
      </c>
      <c r="AQ104" s="81">
        <f t="shared" si="8"/>
        <v>-10</v>
      </c>
      <c r="AR104" s="82">
        <f t="shared" si="9"/>
        <v>0.01</v>
      </c>
      <c r="AS104" s="15"/>
      <c r="AT104" s="15"/>
      <c r="AU104" s="16"/>
      <c r="AV104" s="17"/>
      <c r="AW104" s="16"/>
      <c r="AX104" s="15"/>
      <c r="AY104" s="19"/>
      <c r="AZ104" s="15"/>
      <c r="BA104" s="18"/>
      <c r="BB104" s="17"/>
      <c r="BC104" s="17"/>
      <c r="BD104" s="17"/>
      <c r="BE104" s="6"/>
    </row>
    <row r="105" spans="1:57" x14ac:dyDescent="0.25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00"/>
      <c r="AB105" s="100"/>
      <c r="AC105" s="11"/>
      <c r="AD105" s="11"/>
      <c r="AE105" s="11"/>
      <c r="AF105" s="11"/>
      <c r="AG105" s="11"/>
      <c r="AH105" s="11"/>
      <c r="AI105" s="11"/>
      <c r="AJ105" s="11"/>
      <c r="AK105" s="11"/>
      <c r="AL105" s="52"/>
      <c r="AM105" s="53"/>
      <c r="AN105" s="53">
        <f t="shared" si="6"/>
        <v>9</v>
      </c>
      <c r="AO105" s="77">
        <f t="shared" si="7"/>
        <v>-10</v>
      </c>
      <c r="AP105" s="54">
        <f t="shared" si="5"/>
        <v>0</v>
      </c>
      <c r="AQ105" s="77">
        <f t="shared" si="8"/>
        <v>-10</v>
      </c>
      <c r="AR105" s="54">
        <f t="shared" si="9"/>
        <v>0.01</v>
      </c>
      <c r="AS105" s="15"/>
      <c r="AT105" s="15"/>
      <c r="AU105" s="16"/>
      <c r="AV105" s="17"/>
      <c r="AW105" s="16"/>
      <c r="AX105" s="15"/>
      <c r="AY105" s="19"/>
      <c r="AZ105" s="15"/>
      <c r="BA105" s="18"/>
      <c r="BB105" s="17"/>
      <c r="BC105" s="17"/>
      <c r="BD105" s="17"/>
      <c r="BE105" s="6"/>
    </row>
    <row r="106" spans="1:57" x14ac:dyDescent="0.25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00"/>
      <c r="AB106" s="100"/>
      <c r="AC106" s="11"/>
      <c r="AD106" s="11"/>
      <c r="AE106" s="11"/>
      <c r="AF106" s="11"/>
      <c r="AG106" s="11"/>
      <c r="AH106" s="11"/>
      <c r="AI106" s="11"/>
      <c r="AJ106" s="11"/>
      <c r="AK106" s="11"/>
      <c r="AL106" s="57"/>
      <c r="AM106" s="80"/>
      <c r="AN106" s="80">
        <f t="shared" si="6"/>
        <v>9</v>
      </c>
      <c r="AO106" s="81">
        <f t="shared" si="7"/>
        <v>-10</v>
      </c>
      <c r="AP106" s="82">
        <f t="shared" si="5"/>
        <v>0</v>
      </c>
      <c r="AQ106" s="81">
        <f t="shared" si="8"/>
        <v>-10</v>
      </c>
      <c r="AR106" s="82">
        <f t="shared" si="9"/>
        <v>0.01</v>
      </c>
      <c r="AS106" s="15"/>
      <c r="AT106" s="15"/>
      <c r="AU106" s="16"/>
      <c r="AV106" s="17"/>
      <c r="AW106" s="16"/>
      <c r="AX106" s="15"/>
      <c r="AY106" s="19"/>
      <c r="AZ106" s="15"/>
      <c r="BA106" s="18"/>
      <c r="BB106" s="17"/>
      <c r="BC106" s="17"/>
      <c r="BD106" s="17"/>
      <c r="BE106" s="6"/>
    </row>
    <row r="107" spans="1:57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00"/>
      <c r="AB107" s="100"/>
      <c r="AC107" s="11"/>
      <c r="AD107" s="11"/>
      <c r="AE107" s="11"/>
      <c r="AF107" s="11"/>
      <c r="AG107" s="11"/>
      <c r="AH107" s="11"/>
      <c r="AI107" s="11"/>
      <c r="AJ107" s="11"/>
      <c r="AK107" s="11"/>
      <c r="AL107" s="52"/>
      <c r="AM107" s="53"/>
      <c r="AN107" s="53">
        <f t="shared" si="6"/>
        <v>9</v>
      </c>
      <c r="AO107" s="77">
        <f t="shared" si="7"/>
        <v>-10</v>
      </c>
      <c r="AP107" s="54">
        <f t="shared" si="5"/>
        <v>0</v>
      </c>
      <c r="AQ107" s="77">
        <f t="shared" si="8"/>
        <v>-10</v>
      </c>
      <c r="AR107" s="54">
        <f t="shared" si="9"/>
        <v>0.01</v>
      </c>
      <c r="AS107" s="15"/>
      <c r="AT107" s="15"/>
      <c r="AU107" s="16"/>
      <c r="AV107" s="17"/>
      <c r="AW107" s="16"/>
      <c r="AX107" s="15"/>
      <c r="AY107" s="19"/>
      <c r="AZ107" s="15"/>
      <c r="BA107" s="18"/>
      <c r="BB107" s="17"/>
      <c r="BC107" s="17"/>
      <c r="BD107" s="17"/>
      <c r="BE107" s="6"/>
    </row>
    <row r="108" spans="1:57" x14ac:dyDescent="0.25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00"/>
      <c r="AB108" s="100"/>
      <c r="AC108" s="11"/>
      <c r="AD108" s="11"/>
      <c r="AE108" s="11"/>
      <c r="AF108" s="11"/>
      <c r="AG108" s="11"/>
      <c r="AH108" s="11"/>
      <c r="AI108" s="11"/>
      <c r="AJ108" s="11"/>
      <c r="AK108" s="11"/>
      <c r="AL108" s="57"/>
      <c r="AM108" s="80"/>
      <c r="AN108" s="80">
        <f t="shared" si="6"/>
        <v>9</v>
      </c>
      <c r="AO108" s="81">
        <f t="shared" si="7"/>
        <v>-10</v>
      </c>
      <c r="AP108" s="82">
        <f t="shared" si="5"/>
        <v>0</v>
      </c>
      <c r="AQ108" s="81">
        <f t="shared" si="8"/>
        <v>-10</v>
      </c>
      <c r="AR108" s="82">
        <f t="shared" si="9"/>
        <v>0.01</v>
      </c>
      <c r="AS108" s="15"/>
      <c r="AT108" s="15"/>
      <c r="AU108" s="16"/>
      <c r="AV108" s="17"/>
      <c r="AW108" s="16"/>
      <c r="AX108" s="15"/>
      <c r="AY108" s="19"/>
      <c r="AZ108" s="15"/>
      <c r="BA108" s="18"/>
      <c r="BB108" s="17"/>
      <c r="BC108" s="17"/>
      <c r="BD108" s="17"/>
      <c r="BE108" s="6"/>
    </row>
    <row r="109" spans="1:57" x14ac:dyDescent="0.25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00"/>
      <c r="AB109" s="100"/>
      <c r="AC109" s="11"/>
      <c r="AD109" s="11"/>
      <c r="AE109" s="11"/>
      <c r="AF109" s="11"/>
      <c r="AG109" s="11"/>
      <c r="AH109" s="11"/>
      <c r="AI109" s="11"/>
      <c r="AJ109" s="11"/>
      <c r="AK109" s="11"/>
      <c r="AL109" s="52"/>
      <c r="AM109" s="53"/>
      <c r="AN109" s="53">
        <f t="shared" si="6"/>
        <v>9</v>
      </c>
      <c r="AO109" s="77">
        <f t="shared" si="7"/>
        <v>-10</v>
      </c>
      <c r="AP109" s="54">
        <f t="shared" si="5"/>
        <v>0</v>
      </c>
      <c r="AQ109" s="77">
        <f t="shared" si="8"/>
        <v>-10</v>
      </c>
      <c r="AR109" s="54">
        <f t="shared" si="9"/>
        <v>0.01</v>
      </c>
      <c r="AS109" s="15"/>
      <c r="AT109" s="15"/>
      <c r="AU109" s="16"/>
      <c r="AV109" s="17"/>
      <c r="AW109" s="16"/>
      <c r="AX109" s="15"/>
      <c r="AY109" s="19"/>
      <c r="AZ109" s="15"/>
      <c r="BA109" s="18"/>
      <c r="BB109" s="17"/>
      <c r="BC109" s="17"/>
      <c r="BD109" s="17"/>
      <c r="BE109" s="6"/>
    </row>
    <row r="110" spans="1:57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00"/>
      <c r="AB110" s="100"/>
      <c r="AC110" s="11"/>
      <c r="AD110" s="11"/>
      <c r="AE110" s="11"/>
      <c r="AF110" s="11"/>
      <c r="AG110" s="11"/>
      <c r="AH110" s="11"/>
      <c r="AI110" s="11"/>
      <c r="AJ110" s="11"/>
      <c r="AK110" s="11"/>
      <c r="AL110" s="57"/>
      <c r="AM110" s="80"/>
      <c r="AN110" s="80">
        <f t="shared" si="6"/>
        <v>9</v>
      </c>
      <c r="AO110" s="81">
        <f t="shared" si="7"/>
        <v>-10</v>
      </c>
      <c r="AP110" s="82">
        <f t="shared" si="5"/>
        <v>0</v>
      </c>
      <c r="AQ110" s="81">
        <f t="shared" si="8"/>
        <v>-10</v>
      </c>
      <c r="AR110" s="82">
        <f t="shared" si="9"/>
        <v>0.01</v>
      </c>
      <c r="AS110" s="15"/>
      <c r="AT110" s="15"/>
      <c r="AU110" s="16"/>
      <c r="AV110" s="17"/>
      <c r="AW110" s="16"/>
      <c r="AX110" s="15"/>
      <c r="AY110" s="19"/>
      <c r="AZ110" s="15"/>
      <c r="BA110" s="18"/>
      <c r="BB110" s="17"/>
      <c r="BC110" s="17"/>
      <c r="BD110" s="17"/>
      <c r="BE110" s="6"/>
    </row>
    <row r="111" spans="1:57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00"/>
      <c r="AB111" s="100"/>
      <c r="AC111" s="11"/>
      <c r="AD111" s="11"/>
      <c r="AE111" s="11"/>
      <c r="AF111" s="11"/>
      <c r="AG111" s="11"/>
      <c r="AH111" s="11"/>
      <c r="AI111" s="11"/>
      <c r="AJ111" s="11"/>
      <c r="AK111" s="11"/>
      <c r="AL111" s="52"/>
      <c r="AM111" s="53"/>
      <c r="AN111" s="53">
        <f t="shared" si="6"/>
        <v>9</v>
      </c>
      <c r="AO111" s="77">
        <f t="shared" si="7"/>
        <v>-10</v>
      </c>
      <c r="AP111" s="54">
        <f t="shared" si="5"/>
        <v>0</v>
      </c>
      <c r="AQ111" s="77">
        <f t="shared" si="8"/>
        <v>-10</v>
      </c>
      <c r="AR111" s="54">
        <f t="shared" si="9"/>
        <v>0.01</v>
      </c>
      <c r="AS111" s="15"/>
      <c r="AT111" s="15"/>
      <c r="AU111" s="16"/>
      <c r="AV111" s="17"/>
      <c r="AW111" s="16"/>
      <c r="AX111" s="15"/>
      <c r="AY111" s="19"/>
      <c r="AZ111" s="15"/>
      <c r="BA111" s="18"/>
      <c r="BB111" s="17"/>
      <c r="BC111" s="17"/>
      <c r="BD111" s="17"/>
      <c r="BE111" s="6"/>
    </row>
    <row r="112" spans="1:57" x14ac:dyDescent="0.25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00"/>
      <c r="AB112" s="100"/>
      <c r="AC112" s="11"/>
      <c r="AD112" s="11"/>
      <c r="AE112" s="11"/>
      <c r="AF112" s="11"/>
      <c r="AG112" s="11"/>
      <c r="AH112" s="11"/>
      <c r="AI112" s="11"/>
      <c r="AJ112" s="11"/>
      <c r="AK112" s="11"/>
      <c r="AL112" s="57"/>
      <c r="AM112" s="80"/>
      <c r="AN112" s="80">
        <f t="shared" si="6"/>
        <v>9</v>
      </c>
      <c r="AO112" s="81">
        <f t="shared" si="7"/>
        <v>-10</v>
      </c>
      <c r="AP112" s="82">
        <f t="shared" si="5"/>
        <v>0</v>
      </c>
      <c r="AQ112" s="81">
        <f t="shared" si="8"/>
        <v>-10</v>
      </c>
      <c r="AR112" s="82">
        <f t="shared" si="9"/>
        <v>0.01</v>
      </c>
      <c r="AS112" s="15"/>
      <c r="AT112" s="15"/>
      <c r="AU112" s="16"/>
      <c r="AV112" s="17"/>
      <c r="AW112" s="16"/>
      <c r="AX112" s="15"/>
      <c r="AY112" s="19"/>
      <c r="AZ112" s="15"/>
      <c r="BA112" s="18"/>
      <c r="BB112" s="17"/>
      <c r="BC112" s="17"/>
      <c r="BD112" s="17"/>
      <c r="BE112" s="6"/>
    </row>
    <row r="113" spans="1:57" x14ac:dyDescent="0.25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00"/>
      <c r="AB113" s="100"/>
      <c r="AC113" s="11"/>
      <c r="AD113" s="11"/>
      <c r="AE113" s="11"/>
      <c r="AF113" s="11"/>
      <c r="AG113" s="11"/>
      <c r="AH113" s="11"/>
      <c r="AI113" s="11"/>
      <c r="AJ113" s="11"/>
      <c r="AK113" s="11"/>
      <c r="AL113" s="52"/>
      <c r="AM113" s="53"/>
      <c r="AN113" s="53">
        <f t="shared" si="6"/>
        <v>9</v>
      </c>
      <c r="AO113" s="77">
        <f t="shared" si="7"/>
        <v>-10</v>
      </c>
      <c r="AP113" s="54">
        <f t="shared" si="5"/>
        <v>0</v>
      </c>
      <c r="AQ113" s="77">
        <f t="shared" si="8"/>
        <v>-10</v>
      </c>
      <c r="AR113" s="54">
        <f t="shared" si="9"/>
        <v>0.01</v>
      </c>
      <c r="AS113" s="15"/>
      <c r="AT113" s="15"/>
      <c r="AU113" s="16"/>
      <c r="AV113" s="17"/>
      <c r="AW113" s="16"/>
      <c r="AX113" s="15"/>
      <c r="AY113" s="19"/>
      <c r="AZ113" s="15"/>
      <c r="BA113" s="18"/>
      <c r="BB113" s="17"/>
      <c r="BC113" s="17"/>
      <c r="BD113" s="17"/>
      <c r="BE113" s="6"/>
    </row>
    <row r="114" spans="1:57" x14ac:dyDescent="0.25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00"/>
      <c r="AB114" s="100"/>
      <c r="AC114" s="11"/>
      <c r="AD114" s="11"/>
      <c r="AE114" s="11"/>
      <c r="AF114" s="11"/>
      <c r="AG114" s="11"/>
      <c r="AH114" s="11"/>
      <c r="AI114" s="11"/>
      <c r="AJ114" s="11"/>
      <c r="AK114" s="11"/>
      <c r="AL114" s="57"/>
      <c r="AM114" s="80"/>
      <c r="AN114" s="80">
        <f t="shared" si="6"/>
        <v>9</v>
      </c>
      <c r="AO114" s="81">
        <f t="shared" si="7"/>
        <v>-10</v>
      </c>
      <c r="AP114" s="82">
        <f t="shared" si="5"/>
        <v>0</v>
      </c>
      <c r="AQ114" s="81">
        <f t="shared" si="8"/>
        <v>-10</v>
      </c>
      <c r="AR114" s="82">
        <f t="shared" si="9"/>
        <v>0.01</v>
      </c>
      <c r="AS114" s="15"/>
      <c r="AT114" s="15"/>
      <c r="AU114" s="16"/>
      <c r="AV114" s="17"/>
      <c r="AW114" s="16"/>
      <c r="AX114" s="15"/>
      <c r="AY114" s="19"/>
      <c r="AZ114" s="15"/>
      <c r="BA114" s="18"/>
      <c r="BB114" s="17"/>
      <c r="BC114" s="17"/>
      <c r="BD114" s="17"/>
      <c r="BE114" s="6"/>
    </row>
    <row r="115" spans="1:57" x14ac:dyDescent="0.25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00"/>
      <c r="AB115" s="100"/>
      <c r="AC115" s="11"/>
      <c r="AD115" s="11"/>
      <c r="AE115" s="11"/>
      <c r="AF115" s="11"/>
      <c r="AG115" s="11"/>
      <c r="AH115" s="11"/>
      <c r="AI115" s="11"/>
      <c r="AJ115" s="11"/>
      <c r="AK115" s="11"/>
      <c r="AL115" s="52"/>
      <c r="AM115" s="53"/>
      <c r="AN115" s="53">
        <f t="shared" si="6"/>
        <v>9</v>
      </c>
      <c r="AO115" s="77">
        <f t="shared" si="7"/>
        <v>-10</v>
      </c>
      <c r="AP115" s="54">
        <f t="shared" si="5"/>
        <v>0</v>
      </c>
      <c r="AQ115" s="77">
        <f t="shared" si="8"/>
        <v>-10</v>
      </c>
      <c r="AR115" s="54">
        <f t="shared" si="9"/>
        <v>0.01</v>
      </c>
      <c r="AS115" s="15"/>
      <c r="AT115" s="15"/>
      <c r="AU115" s="16"/>
      <c r="AV115" s="17"/>
      <c r="AW115" s="16"/>
      <c r="AX115" s="15"/>
      <c r="AY115" s="19"/>
      <c r="AZ115" s="15"/>
      <c r="BA115" s="18"/>
      <c r="BB115" s="17"/>
      <c r="BC115" s="17"/>
      <c r="BD115" s="17"/>
      <c r="BE115" s="6"/>
    </row>
    <row r="116" spans="1:57" x14ac:dyDescent="0.25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00"/>
      <c r="AB116" s="100"/>
      <c r="AC116" s="11"/>
      <c r="AD116" s="11"/>
      <c r="AE116" s="11"/>
      <c r="AF116" s="11"/>
      <c r="AG116" s="11"/>
      <c r="AH116" s="11"/>
      <c r="AI116" s="11"/>
      <c r="AJ116" s="11"/>
      <c r="AK116" s="11"/>
      <c r="AL116" s="57"/>
      <c r="AM116" s="80"/>
      <c r="AN116" s="80">
        <f t="shared" si="6"/>
        <v>9</v>
      </c>
      <c r="AO116" s="81">
        <f t="shared" si="7"/>
        <v>-10</v>
      </c>
      <c r="AP116" s="82">
        <f t="shared" si="5"/>
        <v>0</v>
      </c>
      <c r="AQ116" s="81">
        <f t="shared" si="8"/>
        <v>-10</v>
      </c>
      <c r="AR116" s="82">
        <f t="shared" si="9"/>
        <v>0.01</v>
      </c>
      <c r="AS116" s="15"/>
      <c r="AT116" s="15"/>
      <c r="AU116" s="16"/>
      <c r="AV116" s="17"/>
      <c r="AW116" s="16"/>
      <c r="AX116" s="15"/>
      <c r="AY116" s="19"/>
      <c r="AZ116" s="15"/>
      <c r="BA116" s="18"/>
      <c r="BB116" s="17"/>
      <c r="BC116" s="17"/>
      <c r="BD116" s="17"/>
      <c r="BE116" s="6"/>
    </row>
    <row r="117" spans="1:57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00"/>
      <c r="AB117" s="100"/>
      <c r="AC117" s="11"/>
      <c r="AD117" s="11"/>
      <c r="AE117" s="11"/>
      <c r="AF117" s="11"/>
      <c r="AG117" s="11"/>
      <c r="AH117" s="11"/>
      <c r="AI117" s="11"/>
      <c r="AJ117" s="11"/>
      <c r="AK117" s="11"/>
      <c r="AL117" s="52"/>
      <c r="AM117" s="53"/>
      <c r="AN117" s="53">
        <f t="shared" si="6"/>
        <v>9</v>
      </c>
      <c r="AO117" s="77">
        <f t="shared" si="7"/>
        <v>-10</v>
      </c>
      <c r="AP117" s="54">
        <f t="shared" si="5"/>
        <v>0</v>
      </c>
      <c r="AQ117" s="77">
        <f t="shared" si="8"/>
        <v>-10</v>
      </c>
      <c r="AR117" s="54">
        <f t="shared" si="9"/>
        <v>0.01</v>
      </c>
      <c r="AS117" s="15"/>
      <c r="AT117" s="15"/>
      <c r="AU117" s="16"/>
      <c r="AV117" s="17"/>
      <c r="AW117" s="16"/>
      <c r="AX117" s="15"/>
      <c r="AY117" s="19"/>
      <c r="AZ117" s="15"/>
      <c r="BA117" s="18"/>
      <c r="BB117" s="17"/>
      <c r="BC117" s="17"/>
      <c r="BD117" s="17"/>
      <c r="BE117" s="6"/>
    </row>
    <row r="118" spans="1:57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00"/>
      <c r="AB118" s="100"/>
      <c r="AC118" s="11"/>
      <c r="AD118" s="11"/>
      <c r="AE118" s="11"/>
      <c r="AF118" s="11"/>
      <c r="AG118" s="11"/>
      <c r="AH118" s="11"/>
      <c r="AI118" s="11"/>
      <c r="AJ118" s="11"/>
      <c r="AK118" s="11"/>
      <c r="AL118" s="57"/>
      <c r="AM118" s="80"/>
      <c r="AN118" s="80">
        <f t="shared" si="6"/>
        <v>9</v>
      </c>
      <c r="AO118" s="81">
        <f t="shared" si="7"/>
        <v>-10</v>
      </c>
      <c r="AP118" s="82">
        <f t="shared" si="5"/>
        <v>0</v>
      </c>
      <c r="AQ118" s="81">
        <f t="shared" si="8"/>
        <v>-10</v>
      </c>
      <c r="AR118" s="82">
        <f t="shared" si="9"/>
        <v>0.01</v>
      </c>
      <c r="AS118" s="15"/>
      <c r="AT118" s="15"/>
      <c r="AU118" s="16"/>
      <c r="AV118" s="17"/>
      <c r="AW118" s="16"/>
      <c r="AX118" s="15"/>
      <c r="AY118" s="19"/>
      <c r="AZ118" s="15"/>
      <c r="BA118" s="18"/>
      <c r="BB118" s="17"/>
      <c r="BC118" s="17"/>
      <c r="BD118" s="17"/>
      <c r="BE118" s="6"/>
    </row>
    <row r="119" spans="1:57" x14ac:dyDescent="0.25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00"/>
      <c r="AB119" s="100"/>
      <c r="AC119" s="11"/>
      <c r="AD119" s="11"/>
      <c r="AE119" s="11"/>
      <c r="AF119" s="11"/>
      <c r="AG119" s="11"/>
      <c r="AH119" s="11"/>
      <c r="AI119" s="11"/>
      <c r="AJ119" s="11"/>
      <c r="AK119" s="11"/>
      <c r="AL119" s="52"/>
      <c r="AM119" s="53"/>
      <c r="AN119" s="53">
        <f t="shared" si="6"/>
        <v>9</v>
      </c>
      <c r="AO119" s="77">
        <f t="shared" si="7"/>
        <v>-10</v>
      </c>
      <c r="AP119" s="54">
        <f t="shared" si="5"/>
        <v>0</v>
      </c>
      <c r="AQ119" s="77">
        <f t="shared" si="8"/>
        <v>-10</v>
      </c>
      <c r="AR119" s="54">
        <f t="shared" si="9"/>
        <v>0.01</v>
      </c>
      <c r="AS119" s="15"/>
      <c r="AT119" s="15"/>
      <c r="AU119" s="16"/>
      <c r="AV119" s="17"/>
      <c r="AW119" s="16"/>
      <c r="AX119" s="15"/>
      <c r="AY119" s="19"/>
      <c r="AZ119" s="15"/>
      <c r="BA119" s="18"/>
      <c r="BB119" s="17"/>
      <c r="BC119" s="17"/>
      <c r="BD119" s="17"/>
      <c r="BE119" s="6"/>
    </row>
    <row r="120" spans="1:57" x14ac:dyDescent="0.25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00"/>
      <c r="AB120" s="100"/>
      <c r="AC120" s="11"/>
      <c r="AD120" s="11"/>
      <c r="AE120" s="11"/>
      <c r="AF120" s="11"/>
      <c r="AG120" s="11"/>
      <c r="AH120" s="11"/>
      <c r="AI120" s="11"/>
      <c r="AJ120" s="11"/>
      <c r="AK120" s="11"/>
      <c r="AL120" s="57"/>
      <c r="AM120" s="80"/>
      <c r="AN120" s="80">
        <f t="shared" si="6"/>
        <v>9</v>
      </c>
      <c r="AO120" s="81">
        <f t="shared" si="7"/>
        <v>-10</v>
      </c>
      <c r="AP120" s="82">
        <f t="shared" si="5"/>
        <v>0</v>
      </c>
      <c r="AQ120" s="81">
        <f t="shared" si="8"/>
        <v>-10</v>
      </c>
      <c r="AR120" s="82">
        <f t="shared" si="9"/>
        <v>0.01</v>
      </c>
      <c r="AS120" s="15"/>
      <c r="AT120" s="15"/>
      <c r="AU120" s="16"/>
      <c r="AV120" s="17"/>
      <c r="AW120" s="16"/>
      <c r="AX120" s="15"/>
      <c r="AY120" s="19"/>
      <c r="AZ120" s="15"/>
      <c r="BA120" s="18"/>
      <c r="BB120" s="17"/>
      <c r="BC120" s="17"/>
      <c r="BD120" s="17"/>
      <c r="BE120" s="6"/>
    </row>
    <row r="121" spans="1:57" x14ac:dyDescent="0.25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00"/>
      <c r="AB121" s="100"/>
      <c r="AC121" s="11"/>
      <c r="AD121" s="11"/>
      <c r="AE121" s="11"/>
      <c r="AF121" s="11"/>
      <c r="AG121" s="11"/>
      <c r="AH121" s="11"/>
      <c r="AI121" s="11"/>
      <c r="AJ121" s="11"/>
      <c r="AK121" s="11"/>
      <c r="AL121" s="52"/>
      <c r="AM121" s="53"/>
      <c r="AN121" s="53">
        <f t="shared" si="6"/>
        <v>9</v>
      </c>
      <c r="AO121" s="77">
        <f t="shared" si="7"/>
        <v>-10</v>
      </c>
      <c r="AP121" s="54">
        <f t="shared" si="5"/>
        <v>0</v>
      </c>
      <c r="AQ121" s="77">
        <f t="shared" si="8"/>
        <v>-10</v>
      </c>
      <c r="AR121" s="54">
        <f t="shared" si="9"/>
        <v>0.01</v>
      </c>
      <c r="AS121" s="15"/>
      <c r="AT121" s="15"/>
      <c r="AU121" s="16"/>
      <c r="AV121" s="17"/>
      <c r="AW121" s="16"/>
      <c r="AX121" s="15"/>
      <c r="AY121" s="19"/>
      <c r="AZ121" s="15"/>
      <c r="BA121" s="18"/>
      <c r="BB121" s="17"/>
      <c r="BC121" s="17"/>
      <c r="BD121" s="17"/>
      <c r="BE121" s="6"/>
    </row>
    <row r="122" spans="1:57" x14ac:dyDescent="0.25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00"/>
      <c r="AB122" s="100"/>
      <c r="AC122" s="11"/>
      <c r="AD122" s="11"/>
      <c r="AE122" s="11"/>
      <c r="AF122" s="11"/>
      <c r="AG122" s="11"/>
      <c r="AH122" s="11"/>
      <c r="AI122" s="11"/>
      <c r="AJ122" s="11"/>
      <c r="AK122" s="11"/>
      <c r="AL122" s="57"/>
      <c r="AM122" s="80"/>
      <c r="AN122" s="80">
        <f t="shared" si="6"/>
        <v>9</v>
      </c>
      <c r="AO122" s="81">
        <f t="shared" si="7"/>
        <v>-10</v>
      </c>
      <c r="AP122" s="82">
        <f t="shared" si="5"/>
        <v>0</v>
      </c>
      <c r="AQ122" s="81">
        <f t="shared" si="8"/>
        <v>-10</v>
      </c>
      <c r="AR122" s="82">
        <f t="shared" si="9"/>
        <v>0.01</v>
      </c>
      <c r="AS122" s="15"/>
      <c r="AT122" s="15"/>
      <c r="AU122" s="16"/>
      <c r="AV122" s="17"/>
      <c r="AW122" s="16"/>
      <c r="AX122" s="15"/>
      <c r="AY122" s="19"/>
      <c r="AZ122" s="15"/>
      <c r="BA122" s="18"/>
      <c r="BB122" s="17"/>
      <c r="BC122" s="17"/>
      <c r="BD122" s="17"/>
      <c r="BE122" s="6"/>
    </row>
    <row r="123" spans="1:57" x14ac:dyDescent="0.2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00"/>
      <c r="AB123" s="100"/>
      <c r="AC123" s="11"/>
      <c r="AD123" s="11"/>
      <c r="AE123" s="11"/>
      <c r="AF123" s="11"/>
      <c r="AG123" s="11"/>
      <c r="AH123" s="11"/>
      <c r="AI123" s="11"/>
      <c r="AJ123" s="11"/>
      <c r="AK123" s="11"/>
      <c r="AL123" s="52"/>
      <c r="AM123" s="53"/>
      <c r="AN123" s="53">
        <f t="shared" si="6"/>
        <v>9</v>
      </c>
      <c r="AO123" s="77">
        <f t="shared" si="7"/>
        <v>-10</v>
      </c>
      <c r="AP123" s="54">
        <f t="shared" si="5"/>
        <v>0</v>
      </c>
      <c r="AQ123" s="77">
        <f t="shared" si="8"/>
        <v>-10</v>
      </c>
      <c r="AR123" s="54">
        <f t="shared" si="9"/>
        <v>0.01</v>
      </c>
      <c r="AS123" s="15"/>
      <c r="AT123" s="15"/>
      <c r="AU123" s="16"/>
      <c r="AV123" s="17"/>
      <c r="AW123" s="16"/>
      <c r="AX123" s="15"/>
      <c r="AY123" s="19"/>
      <c r="AZ123" s="15"/>
      <c r="BA123" s="18"/>
      <c r="BB123" s="17"/>
      <c r="BC123" s="17"/>
      <c r="BD123" s="17"/>
      <c r="BE123" s="6"/>
    </row>
    <row r="124" spans="1:57" x14ac:dyDescent="0.2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00"/>
      <c r="AB124" s="100"/>
      <c r="AC124" s="11"/>
      <c r="AD124" s="11"/>
      <c r="AE124" s="11"/>
      <c r="AF124" s="11"/>
      <c r="AG124" s="11"/>
      <c r="AH124" s="11"/>
      <c r="AI124" s="11"/>
      <c r="AJ124" s="11"/>
      <c r="AK124" s="11"/>
      <c r="AL124" s="57"/>
      <c r="AM124" s="80"/>
      <c r="AN124" s="80">
        <f t="shared" si="6"/>
        <v>9</v>
      </c>
      <c r="AO124" s="81">
        <f t="shared" si="7"/>
        <v>-10</v>
      </c>
      <c r="AP124" s="82">
        <f t="shared" si="5"/>
        <v>0</v>
      </c>
      <c r="AQ124" s="81">
        <f t="shared" si="8"/>
        <v>-10</v>
      </c>
      <c r="AR124" s="82">
        <f t="shared" si="9"/>
        <v>0.01</v>
      </c>
      <c r="AS124" s="15"/>
      <c r="AT124" s="15"/>
      <c r="AU124" s="16"/>
      <c r="AV124" s="17"/>
      <c r="AW124" s="16"/>
      <c r="AX124" s="15"/>
      <c r="AY124" s="19"/>
      <c r="AZ124" s="15"/>
      <c r="BA124" s="18"/>
      <c r="BB124" s="17"/>
      <c r="BC124" s="17"/>
      <c r="BD124" s="17"/>
      <c r="BE124" s="6"/>
    </row>
    <row r="125" spans="1:57" x14ac:dyDescent="0.2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00"/>
      <c r="AB125" s="100"/>
      <c r="AC125" s="11"/>
      <c r="AD125" s="11"/>
      <c r="AE125" s="11"/>
      <c r="AF125" s="11"/>
      <c r="AG125" s="11"/>
      <c r="AH125" s="11"/>
      <c r="AI125" s="11"/>
      <c r="AJ125" s="11"/>
      <c r="AK125" s="11"/>
      <c r="AL125" s="52"/>
      <c r="AM125" s="53"/>
      <c r="AN125" s="53">
        <f t="shared" si="6"/>
        <v>9</v>
      </c>
      <c r="AO125" s="77">
        <f t="shared" si="7"/>
        <v>-10</v>
      </c>
      <c r="AP125" s="54">
        <f t="shared" si="5"/>
        <v>0</v>
      </c>
      <c r="AQ125" s="77">
        <f t="shared" si="8"/>
        <v>-10</v>
      </c>
      <c r="AR125" s="54">
        <f t="shared" si="9"/>
        <v>0.01</v>
      </c>
      <c r="AS125" s="15"/>
      <c r="AT125" s="15"/>
      <c r="AU125" s="16"/>
      <c r="AV125" s="17"/>
      <c r="AW125" s="16"/>
      <c r="AX125" s="15"/>
      <c r="AY125" s="19"/>
      <c r="AZ125" s="15"/>
      <c r="BA125" s="18"/>
      <c r="BB125" s="17"/>
      <c r="BC125" s="17"/>
      <c r="BD125" s="17"/>
      <c r="BE125" s="6"/>
    </row>
    <row r="126" spans="1:57" x14ac:dyDescent="0.2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00"/>
      <c r="AB126" s="100"/>
      <c r="AC126" s="11"/>
      <c r="AD126" s="11"/>
      <c r="AE126" s="11"/>
      <c r="AF126" s="11"/>
      <c r="AG126" s="11"/>
      <c r="AH126" s="11"/>
      <c r="AI126" s="11"/>
      <c r="AJ126" s="11"/>
      <c r="AK126" s="11"/>
      <c r="AL126" s="57"/>
      <c r="AM126" s="80"/>
      <c r="AN126" s="80">
        <f t="shared" si="6"/>
        <v>9</v>
      </c>
      <c r="AO126" s="81">
        <f t="shared" si="7"/>
        <v>-10</v>
      </c>
      <c r="AP126" s="82">
        <f t="shared" si="5"/>
        <v>0</v>
      </c>
      <c r="AQ126" s="81">
        <f t="shared" si="8"/>
        <v>-10</v>
      </c>
      <c r="AR126" s="82">
        <f t="shared" si="9"/>
        <v>0.01</v>
      </c>
      <c r="AS126" s="15"/>
      <c r="AT126" s="15"/>
      <c r="AU126" s="16"/>
      <c r="AV126" s="17"/>
      <c r="AW126" s="16"/>
      <c r="AX126" s="15"/>
      <c r="AY126" s="19"/>
      <c r="AZ126" s="15"/>
      <c r="BA126" s="18"/>
      <c r="BB126" s="17"/>
      <c r="BC126" s="17"/>
      <c r="BD126" s="17"/>
      <c r="BE126" s="6"/>
    </row>
    <row r="127" spans="1:57" x14ac:dyDescent="0.2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00"/>
      <c r="AB127" s="100"/>
      <c r="AC127" s="11"/>
      <c r="AD127" s="11"/>
      <c r="AE127" s="11"/>
      <c r="AF127" s="11"/>
      <c r="AG127" s="11"/>
      <c r="AH127" s="11"/>
      <c r="AI127" s="11"/>
      <c r="AJ127" s="11"/>
      <c r="AK127" s="11"/>
      <c r="AL127" s="52"/>
      <c r="AM127" s="53"/>
      <c r="AN127" s="53">
        <f t="shared" si="6"/>
        <v>9</v>
      </c>
      <c r="AO127" s="77">
        <f t="shared" si="7"/>
        <v>-10</v>
      </c>
      <c r="AP127" s="54">
        <f t="shared" si="5"/>
        <v>0</v>
      </c>
      <c r="AQ127" s="77">
        <f t="shared" si="8"/>
        <v>-10</v>
      </c>
      <c r="AR127" s="54">
        <f t="shared" si="9"/>
        <v>0.01</v>
      </c>
      <c r="AS127" s="15"/>
      <c r="AT127" s="15"/>
      <c r="AU127" s="16"/>
      <c r="AV127" s="17"/>
      <c r="AW127" s="16"/>
      <c r="AX127" s="15"/>
      <c r="AY127" s="19"/>
      <c r="AZ127" s="15"/>
      <c r="BA127" s="18"/>
      <c r="BB127" s="17"/>
      <c r="BC127" s="17"/>
      <c r="BD127" s="17"/>
      <c r="BE127" s="6"/>
    </row>
    <row r="128" spans="1:57" x14ac:dyDescent="0.2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00"/>
      <c r="AB128" s="100"/>
      <c r="AC128" s="11"/>
      <c r="AD128" s="11"/>
      <c r="AE128" s="11"/>
      <c r="AF128" s="11"/>
      <c r="AG128" s="11"/>
      <c r="AH128" s="11"/>
      <c r="AI128" s="11"/>
      <c r="AJ128" s="11"/>
      <c r="AK128" s="11"/>
      <c r="AL128" s="57"/>
      <c r="AM128" s="80"/>
      <c r="AN128" s="80">
        <f t="shared" si="6"/>
        <v>9</v>
      </c>
      <c r="AO128" s="81">
        <f t="shared" si="7"/>
        <v>-10</v>
      </c>
      <c r="AP128" s="82">
        <f t="shared" si="5"/>
        <v>0</v>
      </c>
      <c r="AQ128" s="81">
        <f t="shared" si="8"/>
        <v>-10</v>
      </c>
      <c r="AR128" s="82">
        <f t="shared" si="9"/>
        <v>0.01</v>
      </c>
      <c r="AS128" s="15"/>
      <c r="AT128" s="15"/>
      <c r="AU128" s="16"/>
      <c r="AV128" s="17"/>
      <c r="AW128" s="16"/>
      <c r="AX128" s="15"/>
      <c r="AY128" s="19"/>
      <c r="AZ128" s="15"/>
      <c r="BA128" s="18"/>
      <c r="BB128" s="17"/>
      <c r="BC128" s="17"/>
      <c r="BD128" s="17"/>
      <c r="BE128" s="6"/>
    </row>
    <row r="129" spans="1:57" x14ac:dyDescent="0.2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00"/>
      <c r="AB129" s="100"/>
      <c r="AC129" s="11"/>
      <c r="AD129" s="11"/>
      <c r="AE129" s="11"/>
      <c r="AF129" s="11"/>
      <c r="AG129" s="11"/>
      <c r="AH129" s="11"/>
      <c r="AI129" s="11"/>
      <c r="AJ129" s="11"/>
      <c r="AK129" s="11"/>
      <c r="AL129" s="52"/>
      <c r="AM129" s="53"/>
      <c r="AN129" s="53">
        <f t="shared" si="6"/>
        <v>9</v>
      </c>
      <c r="AO129" s="77">
        <f t="shared" si="7"/>
        <v>-10</v>
      </c>
      <c r="AP129" s="54">
        <f t="shared" si="5"/>
        <v>0</v>
      </c>
      <c r="AQ129" s="77">
        <f t="shared" si="8"/>
        <v>-10</v>
      </c>
      <c r="AR129" s="54">
        <f t="shared" si="9"/>
        <v>0.01</v>
      </c>
      <c r="AS129" s="15"/>
      <c r="AT129" s="15"/>
      <c r="AU129" s="16"/>
      <c r="AV129" s="17"/>
      <c r="AW129" s="16"/>
      <c r="AX129" s="15"/>
      <c r="AY129" s="19"/>
      <c r="AZ129" s="15"/>
      <c r="BA129" s="18"/>
      <c r="BB129" s="17"/>
      <c r="BC129" s="17"/>
      <c r="BD129" s="17"/>
      <c r="BE129" s="6"/>
    </row>
    <row r="130" spans="1:57" x14ac:dyDescent="0.2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00"/>
      <c r="AB130" s="100"/>
      <c r="AC130" s="11"/>
      <c r="AD130" s="11"/>
      <c r="AE130" s="11"/>
      <c r="AF130" s="11"/>
      <c r="AG130" s="11"/>
      <c r="AH130" s="11"/>
      <c r="AI130" s="11"/>
      <c r="AJ130" s="11"/>
      <c r="AK130" s="11"/>
      <c r="AL130" s="57"/>
      <c r="AM130" s="80"/>
      <c r="AN130" s="80">
        <f t="shared" si="6"/>
        <v>9</v>
      </c>
      <c r="AO130" s="81">
        <f t="shared" si="7"/>
        <v>-10</v>
      </c>
      <c r="AP130" s="82">
        <f t="shared" ref="AP130:AP193" si="10">AR130*(1-(AO130/AQ130))^2</f>
        <v>0</v>
      </c>
      <c r="AQ130" s="81">
        <f t="shared" si="8"/>
        <v>-10</v>
      </c>
      <c r="AR130" s="82">
        <f t="shared" si="9"/>
        <v>0.01</v>
      </c>
      <c r="AS130" s="15"/>
      <c r="AT130" s="15"/>
      <c r="AU130" s="16"/>
      <c r="AV130" s="17"/>
      <c r="AW130" s="16"/>
      <c r="AX130" s="15"/>
      <c r="AY130" s="19"/>
      <c r="AZ130" s="15"/>
      <c r="BA130" s="18"/>
      <c r="BB130" s="17"/>
      <c r="BC130" s="17"/>
      <c r="BD130" s="17"/>
      <c r="BE130" s="6"/>
    </row>
    <row r="131" spans="1:57" x14ac:dyDescent="0.2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00"/>
      <c r="AB131" s="100"/>
      <c r="AC131" s="11"/>
      <c r="AD131" s="11"/>
      <c r="AE131" s="11"/>
      <c r="AF131" s="11"/>
      <c r="AG131" s="11"/>
      <c r="AH131" s="11"/>
      <c r="AI131" s="11"/>
      <c r="AJ131" s="11"/>
      <c r="AK131" s="11"/>
      <c r="AL131" s="52"/>
      <c r="AM131" s="53"/>
      <c r="AN131" s="53">
        <f t="shared" ref="AN131:AN194" si="11">AN130</f>
        <v>9</v>
      </c>
      <c r="AO131" s="77">
        <f t="shared" ref="AO131:AO194" si="12">IF(AO130+(AQ130/AN131)&lt;AQ130,AQ130,AO130+(AQ130/AN131))</f>
        <v>-10</v>
      </c>
      <c r="AP131" s="54">
        <f t="shared" si="10"/>
        <v>0</v>
      </c>
      <c r="AQ131" s="77">
        <f t="shared" ref="AQ131:AQ194" si="13">AQ130</f>
        <v>-10</v>
      </c>
      <c r="AR131" s="54">
        <f t="shared" ref="AR131:AR194" si="14">AR130</f>
        <v>0.01</v>
      </c>
      <c r="AS131" s="15"/>
      <c r="AT131" s="15"/>
      <c r="AU131" s="16"/>
      <c r="AV131" s="17"/>
      <c r="AW131" s="16"/>
      <c r="AX131" s="15"/>
      <c r="AY131" s="19"/>
      <c r="AZ131" s="15"/>
      <c r="BA131" s="18"/>
      <c r="BB131" s="17"/>
      <c r="BC131" s="17"/>
      <c r="BD131" s="17"/>
      <c r="BE131" s="6"/>
    </row>
    <row r="132" spans="1:57" x14ac:dyDescent="0.2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00"/>
      <c r="AB132" s="100"/>
      <c r="AC132" s="11"/>
      <c r="AD132" s="11"/>
      <c r="AE132" s="11"/>
      <c r="AF132" s="11"/>
      <c r="AG132" s="11"/>
      <c r="AH132" s="11"/>
      <c r="AI132" s="11"/>
      <c r="AJ132" s="11"/>
      <c r="AK132" s="11"/>
      <c r="AL132" s="57"/>
      <c r="AM132" s="80"/>
      <c r="AN132" s="80">
        <f t="shared" si="11"/>
        <v>9</v>
      </c>
      <c r="AO132" s="81">
        <f t="shared" si="12"/>
        <v>-10</v>
      </c>
      <c r="AP132" s="82">
        <f t="shared" si="10"/>
        <v>0</v>
      </c>
      <c r="AQ132" s="81">
        <f t="shared" si="13"/>
        <v>-10</v>
      </c>
      <c r="AR132" s="82">
        <f t="shared" si="14"/>
        <v>0.01</v>
      </c>
      <c r="AS132" s="15"/>
      <c r="AT132" s="15"/>
      <c r="AU132" s="16"/>
      <c r="AV132" s="17"/>
      <c r="AW132" s="16"/>
      <c r="AX132" s="15"/>
      <c r="AY132" s="19"/>
      <c r="AZ132" s="15"/>
      <c r="BA132" s="18"/>
      <c r="BB132" s="17"/>
      <c r="BC132" s="17"/>
      <c r="BD132" s="17"/>
      <c r="BE132" s="6"/>
    </row>
    <row r="133" spans="1:57" x14ac:dyDescent="0.2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00"/>
      <c r="AB133" s="100"/>
      <c r="AC133" s="11"/>
      <c r="AD133" s="11"/>
      <c r="AE133" s="11"/>
      <c r="AF133" s="11"/>
      <c r="AG133" s="11"/>
      <c r="AH133" s="11"/>
      <c r="AI133" s="11"/>
      <c r="AJ133" s="11"/>
      <c r="AK133" s="11"/>
      <c r="AL133" s="52"/>
      <c r="AM133" s="53"/>
      <c r="AN133" s="53">
        <f t="shared" si="11"/>
        <v>9</v>
      </c>
      <c r="AO133" s="77">
        <f t="shared" si="12"/>
        <v>-10</v>
      </c>
      <c r="AP133" s="54">
        <f t="shared" si="10"/>
        <v>0</v>
      </c>
      <c r="AQ133" s="77">
        <f t="shared" si="13"/>
        <v>-10</v>
      </c>
      <c r="AR133" s="54">
        <f t="shared" si="14"/>
        <v>0.01</v>
      </c>
      <c r="AS133" s="15"/>
      <c r="AT133" s="15"/>
      <c r="AU133" s="16"/>
      <c r="AV133" s="17"/>
      <c r="AW133" s="16"/>
      <c r="AX133" s="15"/>
      <c r="AY133" s="19"/>
      <c r="AZ133" s="15"/>
      <c r="BA133" s="18"/>
      <c r="BB133" s="17"/>
      <c r="BC133" s="17"/>
      <c r="BD133" s="17"/>
      <c r="BE133" s="6"/>
    </row>
    <row r="134" spans="1:57" x14ac:dyDescent="0.2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00"/>
      <c r="AB134" s="100"/>
      <c r="AC134" s="11"/>
      <c r="AD134" s="11"/>
      <c r="AE134" s="11"/>
      <c r="AF134" s="11"/>
      <c r="AG134" s="11"/>
      <c r="AH134" s="11"/>
      <c r="AI134" s="11"/>
      <c r="AJ134" s="11"/>
      <c r="AK134" s="11"/>
      <c r="AL134" s="57"/>
      <c r="AM134" s="80"/>
      <c r="AN134" s="80">
        <f t="shared" si="11"/>
        <v>9</v>
      </c>
      <c r="AO134" s="81">
        <f t="shared" si="12"/>
        <v>-10</v>
      </c>
      <c r="AP134" s="82">
        <f t="shared" si="10"/>
        <v>0</v>
      </c>
      <c r="AQ134" s="81">
        <f t="shared" si="13"/>
        <v>-10</v>
      </c>
      <c r="AR134" s="82">
        <f t="shared" si="14"/>
        <v>0.01</v>
      </c>
      <c r="AS134" s="15"/>
      <c r="AT134" s="15"/>
      <c r="AU134" s="16"/>
      <c r="AV134" s="17"/>
      <c r="AW134" s="16"/>
      <c r="AX134" s="15"/>
      <c r="AY134" s="19"/>
      <c r="AZ134" s="15"/>
      <c r="BA134" s="18"/>
      <c r="BB134" s="17"/>
      <c r="BC134" s="17"/>
      <c r="BD134" s="17"/>
      <c r="BE134" s="6"/>
    </row>
    <row r="135" spans="1:57" x14ac:dyDescent="0.2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00"/>
      <c r="AB135" s="100"/>
      <c r="AC135" s="11"/>
      <c r="AD135" s="11"/>
      <c r="AE135" s="11"/>
      <c r="AF135" s="11"/>
      <c r="AG135" s="11"/>
      <c r="AH135" s="11"/>
      <c r="AI135" s="11"/>
      <c r="AJ135" s="11"/>
      <c r="AK135" s="11"/>
      <c r="AL135" s="52"/>
      <c r="AM135" s="53"/>
      <c r="AN135" s="53">
        <f t="shared" si="11"/>
        <v>9</v>
      </c>
      <c r="AO135" s="77">
        <f t="shared" si="12"/>
        <v>-10</v>
      </c>
      <c r="AP135" s="54">
        <f t="shared" si="10"/>
        <v>0</v>
      </c>
      <c r="AQ135" s="77">
        <f t="shared" si="13"/>
        <v>-10</v>
      </c>
      <c r="AR135" s="54">
        <f t="shared" si="14"/>
        <v>0.01</v>
      </c>
      <c r="AS135" s="15"/>
      <c r="AT135" s="15"/>
      <c r="AU135" s="16"/>
      <c r="AV135" s="17"/>
      <c r="AW135" s="16"/>
      <c r="AX135" s="15"/>
      <c r="AY135" s="19"/>
      <c r="AZ135" s="15"/>
      <c r="BA135" s="18"/>
      <c r="BB135" s="17"/>
      <c r="BC135" s="17"/>
      <c r="BD135" s="17"/>
      <c r="BE135" s="6"/>
    </row>
    <row r="136" spans="1:57" x14ac:dyDescent="0.2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00"/>
      <c r="AB136" s="100"/>
      <c r="AC136" s="11"/>
      <c r="AD136" s="11"/>
      <c r="AE136" s="11"/>
      <c r="AF136" s="11"/>
      <c r="AG136" s="11"/>
      <c r="AH136" s="11"/>
      <c r="AI136" s="11"/>
      <c r="AJ136" s="11"/>
      <c r="AK136" s="11"/>
      <c r="AL136" s="57"/>
      <c r="AM136" s="80"/>
      <c r="AN136" s="80">
        <f t="shared" si="11"/>
        <v>9</v>
      </c>
      <c r="AO136" s="81">
        <f t="shared" si="12"/>
        <v>-10</v>
      </c>
      <c r="AP136" s="82">
        <f t="shared" si="10"/>
        <v>0</v>
      </c>
      <c r="AQ136" s="81">
        <f t="shared" si="13"/>
        <v>-10</v>
      </c>
      <c r="AR136" s="82">
        <f t="shared" si="14"/>
        <v>0.01</v>
      </c>
      <c r="AS136" s="15"/>
      <c r="AT136" s="15"/>
      <c r="AU136" s="16"/>
      <c r="AV136" s="17"/>
      <c r="AW136" s="16"/>
      <c r="AX136" s="15"/>
      <c r="AY136" s="19"/>
      <c r="AZ136" s="15"/>
      <c r="BA136" s="18"/>
      <c r="BB136" s="17"/>
      <c r="BC136" s="17"/>
      <c r="BD136" s="17"/>
      <c r="BE136" s="6"/>
    </row>
    <row r="137" spans="1:57" x14ac:dyDescent="0.2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00"/>
      <c r="AB137" s="100"/>
      <c r="AC137" s="11"/>
      <c r="AD137" s="11"/>
      <c r="AE137" s="11"/>
      <c r="AF137" s="11"/>
      <c r="AG137" s="11"/>
      <c r="AH137" s="11"/>
      <c r="AI137" s="11"/>
      <c r="AJ137" s="11"/>
      <c r="AK137" s="11"/>
      <c r="AL137" s="52"/>
      <c r="AM137" s="53"/>
      <c r="AN137" s="53">
        <f t="shared" si="11"/>
        <v>9</v>
      </c>
      <c r="AO137" s="77">
        <f t="shared" si="12"/>
        <v>-10</v>
      </c>
      <c r="AP137" s="54">
        <f t="shared" si="10"/>
        <v>0</v>
      </c>
      <c r="AQ137" s="77">
        <f t="shared" si="13"/>
        <v>-10</v>
      </c>
      <c r="AR137" s="54">
        <f t="shared" si="14"/>
        <v>0.01</v>
      </c>
      <c r="AS137" s="15"/>
      <c r="AT137" s="15"/>
      <c r="AU137" s="16"/>
      <c r="AV137" s="17"/>
      <c r="AW137" s="16"/>
      <c r="AX137" s="15"/>
      <c r="AY137" s="19"/>
      <c r="AZ137" s="15"/>
      <c r="BA137" s="18"/>
      <c r="BB137" s="17"/>
      <c r="BC137" s="17"/>
      <c r="BD137" s="17"/>
      <c r="BE137" s="6"/>
    </row>
    <row r="138" spans="1:57" x14ac:dyDescent="0.2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00"/>
      <c r="AB138" s="100"/>
      <c r="AC138" s="11"/>
      <c r="AD138" s="11"/>
      <c r="AE138" s="11"/>
      <c r="AF138" s="11"/>
      <c r="AG138" s="11"/>
      <c r="AH138" s="11"/>
      <c r="AI138" s="11"/>
      <c r="AJ138" s="11"/>
      <c r="AK138" s="11"/>
      <c r="AL138" s="57"/>
      <c r="AM138" s="80"/>
      <c r="AN138" s="80">
        <f t="shared" si="11"/>
        <v>9</v>
      </c>
      <c r="AO138" s="81">
        <f t="shared" si="12"/>
        <v>-10</v>
      </c>
      <c r="AP138" s="82">
        <f t="shared" si="10"/>
        <v>0</v>
      </c>
      <c r="AQ138" s="81">
        <f t="shared" si="13"/>
        <v>-10</v>
      </c>
      <c r="AR138" s="82">
        <f t="shared" si="14"/>
        <v>0.01</v>
      </c>
      <c r="AS138" s="15"/>
      <c r="AT138" s="15"/>
      <c r="AU138" s="16"/>
      <c r="AV138" s="17"/>
      <c r="AW138" s="16"/>
      <c r="AX138" s="15"/>
      <c r="AY138" s="19"/>
      <c r="AZ138" s="15"/>
      <c r="BA138" s="18"/>
      <c r="BB138" s="17"/>
      <c r="BC138" s="17"/>
      <c r="BD138" s="17"/>
      <c r="BE138" s="6"/>
    </row>
    <row r="139" spans="1:57" x14ac:dyDescent="0.2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00"/>
      <c r="AB139" s="100"/>
      <c r="AC139" s="11"/>
      <c r="AD139" s="11"/>
      <c r="AE139" s="11"/>
      <c r="AF139" s="11"/>
      <c r="AG139" s="11"/>
      <c r="AH139" s="11"/>
      <c r="AI139" s="11"/>
      <c r="AJ139" s="11"/>
      <c r="AK139" s="11"/>
      <c r="AL139" s="52"/>
      <c r="AM139" s="53"/>
      <c r="AN139" s="53">
        <f t="shared" si="11"/>
        <v>9</v>
      </c>
      <c r="AO139" s="77">
        <f t="shared" si="12"/>
        <v>-10</v>
      </c>
      <c r="AP139" s="54">
        <f t="shared" si="10"/>
        <v>0</v>
      </c>
      <c r="AQ139" s="77">
        <f t="shared" si="13"/>
        <v>-10</v>
      </c>
      <c r="AR139" s="54">
        <f t="shared" si="14"/>
        <v>0.01</v>
      </c>
      <c r="AS139" s="15"/>
      <c r="AT139" s="15"/>
      <c r="AU139" s="16"/>
      <c r="AV139" s="17"/>
      <c r="AW139" s="16"/>
      <c r="AX139" s="15"/>
      <c r="AY139" s="19"/>
      <c r="AZ139" s="15"/>
      <c r="BA139" s="18"/>
      <c r="BB139" s="17"/>
      <c r="BC139" s="17"/>
      <c r="BD139" s="17"/>
      <c r="BE139" s="6"/>
    </row>
    <row r="140" spans="1:57" x14ac:dyDescent="0.2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00"/>
      <c r="AB140" s="100"/>
      <c r="AC140" s="11"/>
      <c r="AD140" s="11"/>
      <c r="AE140" s="11"/>
      <c r="AF140" s="11"/>
      <c r="AG140" s="11"/>
      <c r="AH140" s="11"/>
      <c r="AI140" s="11"/>
      <c r="AJ140" s="11"/>
      <c r="AK140" s="11"/>
      <c r="AL140" s="57"/>
      <c r="AM140" s="80"/>
      <c r="AN140" s="80">
        <f t="shared" si="11"/>
        <v>9</v>
      </c>
      <c r="AO140" s="81">
        <f t="shared" si="12"/>
        <v>-10</v>
      </c>
      <c r="AP140" s="82">
        <f t="shared" si="10"/>
        <v>0</v>
      </c>
      <c r="AQ140" s="81">
        <f t="shared" si="13"/>
        <v>-10</v>
      </c>
      <c r="AR140" s="82">
        <f t="shared" si="14"/>
        <v>0.01</v>
      </c>
      <c r="AS140" s="15"/>
      <c r="AT140" s="15"/>
      <c r="AU140" s="16"/>
      <c r="AV140" s="17"/>
      <c r="AW140" s="16"/>
      <c r="AX140" s="15"/>
      <c r="AY140" s="19"/>
      <c r="AZ140" s="15"/>
      <c r="BA140" s="18"/>
      <c r="BB140" s="17"/>
      <c r="BC140" s="17"/>
      <c r="BD140" s="17"/>
      <c r="BE140" s="6"/>
    </row>
    <row r="141" spans="1:57" x14ac:dyDescent="0.2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00"/>
      <c r="AB141" s="100"/>
      <c r="AC141" s="11"/>
      <c r="AD141" s="11"/>
      <c r="AE141" s="11"/>
      <c r="AF141" s="11"/>
      <c r="AG141" s="11"/>
      <c r="AH141" s="11"/>
      <c r="AI141" s="11"/>
      <c r="AJ141" s="11"/>
      <c r="AK141" s="11"/>
      <c r="AL141" s="52"/>
      <c r="AM141" s="53"/>
      <c r="AN141" s="53">
        <f t="shared" si="11"/>
        <v>9</v>
      </c>
      <c r="AO141" s="77">
        <f t="shared" si="12"/>
        <v>-10</v>
      </c>
      <c r="AP141" s="54">
        <f t="shared" si="10"/>
        <v>0</v>
      </c>
      <c r="AQ141" s="77">
        <f t="shared" si="13"/>
        <v>-10</v>
      </c>
      <c r="AR141" s="54">
        <f t="shared" si="14"/>
        <v>0.01</v>
      </c>
      <c r="AS141" s="15"/>
      <c r="AT141" s="15"/>
      <c r="AU141" s="16"/>
      <c r="AV141" s="17"/>
      <c r="AW141" s="16"/>
      <c r="AX141" s="15"/>
      <c r="AY141" s="19"/>
      <c r="AZ141" s="15"/>
      <c r="BA141" s="18"/>
      <c r="BB141" s="17"/>
      <c r="BC141" s="17"/>
      <c r="BD141" s="17"/>
      <c r="BE141" s="6"/>
    </row>
    <row r="142" spans="1:57" x14ac:dyDescent="0.2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00"/>
      <c r="AB142" s="100"/>
      <c r="AC142" s="11"/>
      <c r="AD142" s="11"/>
      <c r="AE142" s="11"/>
      <c r="AF142" s="11"/>
      <c r="AG142" s="11"/>
      <c r="AH142" s="11"/>
      <c r="AI142" s="11"/>
      <c r="AJ142" s="11"/>
      <c r="AK142" s="11"/>
      <c r="AL142" s="57"/>
      <c r="AM142" s="80"/>
      <c r="AN142" s="80">
        <f t="shared" si="11"/>
        <v>9</v>
      </c>
      <c r="AO142" s="81">
        <f t="shared" si="12"/>
        <v>-10</v>
      </c>
      <c r="AP142" s="82">
        <f t="shared" si="10"/>
        <v>0</v>
      </c>
      <c r="AQ142" s="81">
        <f t="shared" si="13"/>
        <v>-10</v>
      </c>
      <c r="AR142" s="82">
        <f t="shared" si="14"/>
        <v>0.01</v>
      </c>
      <c r="AS142" s="15"/>
      <c r="AT142" s="15"/>
      <c r="AU142" s="16"/>
      <c r="AV142" s="17"/>
      <c r="AW142" s="16"/>
      <c r="AX142" s="15"/>
      <c r="AY142" s="19"/>
      <c r="AZ142" s="15"/>
      <c r="BA142" s="18"/>
      <c r="BB142" s="17"/>
      <c r="BC142" s="17"/>
      <c r="BD142" s="17"/>
      <c r="BE142" s="6"/>
    </row>
    <row r="143" spans="1:57" x14ac:dyDescent="0.2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00"/>
      <c r="AB143" s="100"/>
      <c r="AC143" s="11"/>
      <c r="AD143" s="11"/>
      <c r="AE143" s="11"/>
      <c r="AF143" s="11"/>
      <c r="AG143" s="11"/>
      <c r="AH143" s="11"/>
      <c r="AI143" s="11"/>
      <c r="AJ143" s="11"/>
      <c r="AK143" s="11"/>
      <c r="AL143" s="52"/>
      <c r="AM143" s="53"/>
      <c r="AN143" s="53">
        <f t="shared" si="11"/>
        <v>9</v>
      </c>
      <c r="AO143" s="77">
        <f t="shared" si="12"/>
        <v>-10</v>
      </c>
      <c r="AP143" s="54">
        <f t="shared" si="10"/>
        <v>0</v>
      </c>
      <c r="AQ143" s="77">
        <f t="shared" si="13"/>
        <v>-10</v>
      </c>
      <c r="AR143" s="54">
        <f t="shared" si="14"/>
        <v>0.01</v>
      </c>
      <c r="AS143" s="15"/>
      <c r="AT143" s="15"/>
      <c r="AU143" s="16"/>
      <c r="AV143" s="17"/>
      <c r="AW143" s="16"/>
      <c r="AX143" s="15"/>
      <c r="AY143" s="19"/>
      <c r="AZ143" s="15"/>
      <c r="BA143" s="18"/>
      <c r="BB143" s="17"/>
      <c r="BC143" s="17"/>
      <c r="BD143" s="17"/>
      <c r="BE143" s="6"/>
    </row>
    <row r="144" spans="1:57" x14ac:dyDescent="0.2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00"/>
      <c r="AB144" s="100"/>
      <c r="AC144" s="11"/>
      <c r="AD144" s="11"/>
      <c r="AE144" s="11"/>
      <c r="AF144" s="11"/>
      <c r="AG144" s="11"/>
      <c r="AH144" s="11"/>
      <c r="AI144" s="11"/>
      <c r="AJ144" s="11"/>
      <c r="AK144" s="11"/>
      <c r="AL144" s="57"/>
      <c r="AM144" s="80"/>
      <c r="AN144" s="80">
        <f t="shared" si="11"/>
        <v>9</v>
      </c>
      <c r="AO144" s="81">
        <f t="shared" si="12"/>
        <v>-10</v>
      </c>
      <c r="AP144" s="82">
        <f t="shared" si="10"/>
        <v>0</v>
      </c>
      <c r="AQ144" s="81">
        <f t="shared" si="13"/>
        <v>-10</v>
      </c>
      <c r="AR144" s="82">
        <f t="shared" si="14"/>
        <v>0.01</v>
      </c>
      <c r="AS144" s="15"/>
      <c r="AT144" s="15"/>
      <c r="AU144" s="16"/>
      <c r="AV144" s="17"/>
      <c r="AW144" s="16"/>
      <c r="AX144" s="15"/>
      <c r="AY144" s="19"/>
      <c r="AZ144" s="15"/>
      <c r="BA144" s="18"/>
      <c r="BB144" s="17"/>
      <c r="BC144" s="17"/>
      <c r="BD144" s="17"/>
      <c r="BE144" s="6"/>
    </row>
    <row r="145" spans="1:57" x14ac:dyDescent="0.2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00"/>
      <c r="AB145" s="100"/>
      <c r="AC145" s="11"/>
      <c r="AD145" s="11"/>
      <c r="AE145" s="11"/>
      <c r="AF145" s="11"/>
      <c r="AG145" s="11"/>
      <c r="AH145" s="11"/>
      <c r="AI145" s="11"/>
      <c r="AJ145" s="11"/>
      <c r="AK145" s="11"/>
      <c r="AL145" s="52"/>
      <c r="AM145" s="53"/>
      <c r="AN145" s="53">
        <f t="shared" si="11"/>
        <v>9</v>
      </c>
      <c r="AO145" s="77">
        <f t="shared" si="12"/>
        <v>-10</v>
      </c>
      <c r="AP145" s="54">
        <f t="shared" si="10"/>
        <v>0</v>
      </c>
      <c r="AQ145" s="77">
        <f t="shared" si="13"/>
        <v>-10</v>
      </c>
      <c r="AR145" s="54">
        <f t="shared" si="14"/>
        <v>0.01</v>
      </c>
      <c r="AS145" s="15"/>
      <c r="AT145" s="15"/>
      <c r="AU145" s="16"/>
      <c r="AV145" s="17"/>
      <c r="AW145" s="16"/>
      <c r="AX145" s="15"/>
      <c r="AY145" s="19"/>
      <c r="AZ145" s="15"/>
      <c r="BA145" s="18"/>
      <c r="BB145" s="17"/>
      <c r="BC145" s="17"/>
      <c r="BD145" s="17"/>
      <c r="BE145" s="6"/>
    </row>
    <row r="146" spans="1:57" x14ac:dyDescent="0.2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00"/>
      <c r="AB146" s="100"/>
      <c r="AC146" s="11"/>
      <c r="AD146" s="11"/>
      <c r="AE146" s="11"/>
      <c r="AF146" s="11"/>
      <c r="AG146" s="11"/>
      <c r="AH146" s="11"/>
      <c r="AI146" s="11"/>
      <c r="AJ146" s="11"/>
      <c r="AK146" s="11"/>
      <c r="AL146" s="57"/>
      <c r="AM146" s="80"/>
      <c r="AN146" s="80">
        <f t="shared" si="11"/>
        <v>9</v>
      </c>
      <c r="AO146" s="81">
        <f t="shared" si="12"/>
        <v>-10</v>
      </c>
      <c r="AP146" s="82">
        <f t="shared" si="10"/>
        <v>0</v>
      </c>
      <c r="AQ146" s="81">
        <f t="shared" si="13"/>
        <v>-10</v>
      </c>
      <c r="AR146" s="82">
        <f t="shared" si="14"/>
        <v>0.01</v>
      </c>
      <c r="AS146" s="15"/>
      <c r="AT146" s="15"/>
      <c r="AU146" s="16"/>
      <c r="AV146" s="17"/>
      <c r="AW146" s="16"/>
      <c r="AX146" s="15"/>
      <c r="AY146" s="19"/>
      <c r="AZ146" s="15"/>
      <c r="BA146" s="18"/>
      <c r="BB146" s="17"/>
      <c r="BC146" s="17"/>
      <c r="BD146" s="17"/>
      <c r="BE146" s="6"/>
    </row>
    <row r="147" spans="1:57" x14ac:dyDescent="0.2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00"/>
      <c r="AB147" s="100"/>
      <c r="AC147" s="11"/>
      <c r="AD147" s="11"/>
      <c r="AE147" s="11"/>
      <c r="AF147" s="11"/>
      <c r="AG147" s="11"/>
      <c r="AH147" s="11"/>
      <c r="AI147" s="11"/>
      <c r="AJ147" s="11"/>
      <c r="AK147" s="11"/>
      <c r="AL147" s="52"/>
      <c r="AM147" s="53"/>
      <c r="AN147" s="53">
        <f t="shared" si="11"/>
        <v>9</v>
      </c>
      <c r="AO147" s="77">
        <f t="shared" si="12"/>
        <v>-10</v>
      </c>
      <c r="AP147" s="54">
        <f t="shared" si="10"/>
        <v>0</v>
      </c>
      <c r="AQ147" s="77">
        <f t="shared" si="13"/>
        <v>-10</v>
      </c>
      <c r="AR147" s="54">
        <f t="shared" si="14"/>
        <v>0.01</v>
      </c>
      <c r="AS147" s="15"/>
      <c r="AT147" s="15"/>
      <c r="AU147" s="16"/>
      <c r="AV147" s="17"/>
      <c r="AW147" s="16"/>
      <c r="AX147" s="15"/>
      <c r="AY147" s="19"/>
      <c r="AZ147" s="15"/>
      <c r="BA147" s="18"/>
      <c r="BB147" s="17"/>
      <c r="BC147" s="17"/>
      <c r="BD147" s="17"/>
      <c r="BE147" s="6"/>
    </row>
    <row r="148" spans="1:57" x14ac:dyDescent="0.2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00"/>
      <c r="AB148" s="100"/>
      <c r="AC148" s="11"/>
      <c r="AD148" s="11"/>
      <c r="AE148" s="11"/>
      <c r="AF148" s="11"/>
      <c r="AG148" s="11"/>
      <c r="AH148" s="11"/>
      <c r="AI148" s="11"/>
      <c r="AJ148" s="11"/>
      <c r="AK148" s="11"/>
      <c r="AL148" s="57"/>
      <c r="AM148" s="80"/>
      <c r="AN148" s="80">
        <f t="shared" si="11"/>
        <v>9</v>
      </c>
      <c r="AO148" s="81">
        <f t="shared" si="12"/>
        <v>-10</v>
      </c>
      <c r="AP148" s="82">
        <f t="shared" si="10"/>
        <v>0</v>
      </c>
      <c r="AQ148" s="81">
        <f t="shared" si="13"/>
        <v>-10</v>
      </c>
      <c r="AR148" s="82">
        <f t="shared" si="14"/>
        <v>0.01</v>
      </c>
      <c r="AS148" s="15"/>
      <c r="AT148" s="15"/>
      <c r="AU148" s="16"/>
      <c r="AV148" s="17"/>
      <c r="AW148" s="16"/>
      <c r="AX148" s="15"/>
      <c r="AY148" s="19"/>
      <c r="AZ148" s="15"/>
      <c r="BA148" s="18"/>
      <c r="BB148" s="17"/>
      <c r="BC148" s="17"/>
      <c r="BD148" s="17"/>
      <c r="BE148" s="6"/>
    </row>
    <row r="149" spans="1:57" x14ac:dyDescent="0.2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00"/>
      <c r="AB149" s="100"/>
      <c r="AC149" s="11"/>
      <c r="AD149" s="11"/>
      <c r="AE149" s="11"/>
      <c r="AF149" s="11"/>
      <c r="AG149" s="11"/>
      <c r="AH149" s="11"/>
      <c r="AI149" s="11"/>
      <c r="AJ149" s="11"/>
      <c r="AK149" s="11"/>
      <c r="AL149" s="52"/>
      <c r="AM149" s="53"/>
      <c r="AN149" s="53">
        <f t="shared" si="11"/>
        <v>9</v>
      </c>
      <c r="AO149" s="77">
        <f t="shared" si="12"/>
        <v>-10</v>
      </c>
      <c r="AP149" s="54">
        <f t="shared" si="10"/>
        <v>0</v>
      </c>
      <c r="AQ149" s="77">
        <f t="shared" si="13"/>
        <v>-10</v>
      </c>
      <c r="AR149" s="54">
        <f t="shared" si="14"/>
        <v>0.01</v>
      </c>
      <c r="AS149" s="15"/>
      <c r="AT149" s="15"/>
      <c r="AU149" s="16"/>
      <c r="AV149" s="17"/>
      <c r="AW149" s="16"/>
      <c r="AX149" s="15"/>
      <c r="AY149" s="19"/>
      <c r="AZ149" s="15"/>
      <c r="BA149" s="18"/>
      <c r="BB149" s="17"/>
      <c r="BC149" s="17"/>
      <c r="BD149" s="17"/>
      <c r="BE149" s="6"/>
    </row>
    <row r="150" spans="1:57" x14ac:dyDescent="0.25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00"/>
      <c r="AB150" s="100"/>
      <c r="AC150" s="11"/>
      <c r="AD150" s="11"/>
      <c r="AE150" s="11"/>
      <c r="AF150" s="11"/>
      <c r="AG150" s="11"/>
      <c r="AH150" s="11"/>
      <c r="AI150" s="11"/>
      <c r="AJ150" s="11"/>
      <c r="AK150" s="11"/>
      <c r="AL150" s="57"/>
      <c r="AM150" s="80"/>
      <c r="AN150" s="80">
        <f t="shared" si="11"/>
        <v>9</v>
      </c>
      <c r="AO150" s="81">
        <f t="shared" si="12"/>
        <v>-10</v>
      </c>
      <c r="AP150" s="82">
        <f t="shared" si="10"/>
        <v>0</v>
      </c>
      <c r="AQ150" s="81">
        <f t="shared" si="13"/>
        <v>-10</v>
      </c>
      <c r="AR150" s="82">
        <f t="shared" si="14"/>
        <v>0.01</v>
      </c>
      <c r="AS150" s="15"/>
      <c r="AT150" s="15"/>
      <c r="AU150" s="16"/>
      <c r="AV150" s="17"/>
      <c r="AW150" s="16"/>
      <c r="AX150" s="15"/>
      <c r="AY150" s="19"/>
      <c r="AZ150" s="15"/>
      <c r="BA150" s="18"/>
      <c r="BB150" s="17"/>
      <c r="BC150" s="17"/>
      <c r="BD150" s="17"/>
      <c r="BE150" s="6"/>
    </row>
    <row r="151" spans="1:57" x14ac:dyDescent="0.25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00"/>
      <c r="AB151" s="100"/>
      <c r="AC151" s="11"/>
      <c r="AD151" s="11"/>
      <c r="AE151" s="11"/>
      <c r="AF151" s="11"/>
      <c r="AG151" s="11"/>
      <c r="AH151" s="11"/>
      <c r="AI151" s="11"/>
      <c r="AJ151" s="11"/>
      <c r="AK151" s="11"/>
      <c r="AL151" s="52"/>
      <c r="AM151" s="53"/>
      <c r="AN151" s="53">
        <f t="shared" si="11"/>
        <v>9</v>
      </c>
      <c r="AO151" s="77">
        <f t="shared" si="12"/>
        <v>-10</v>
      </c>
      <c r="AP151" s="54">
        <f t="shared" si="10"/>
        <v>0</v>
      </c>
      <c r="AQ151" s="77">
        <f t="shared" si="13"/>
        <v>-10</v>
      </c>
      <c r="AR151" s="54">
        <f t="shared" si="14"/>
        <v>0.01</v>
      </c>
      <c r="AS151" s="15"/>
      <c r="AT151" s="15"/>
      <c r="AU151" s="16"/>
      <c r="AV151" s="17"/>
      <c r="AW151" s="16"/>
      <c r="AX151" s="15"/>
      <c r="AY151" s="19"/>
      <c r="AZ151" s="15"/>
      <c r="BA151" s="18"/>
      <c r="BB151" s="17"/>
      <c r="BC151" s="17"/>
      <c r="BD151" s="17"/>
      <c r="BE151" s="6"/>
    </row>
    <row r="152" spans="1:57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00"/>
      <c r="AB152" s="100"/>
      <c r="AC152" s="11"/>
      <c r="AD152" s="11"/>
      <c r="AE152" s="11"/>
      <c r="AF152" s="11"/>
      <c r="AG152" s="11"/>
      <c r="AH152" s="11"/>
      <c r="AI152" s="11"/>
      <c r="AJ152" s="11"/>
      <c r="AK152" s="11"/>
      <c r="AL152" s="57"/>
      <c r="AM152" s="80"/>
      <c r="AN152" s="80">
        <f t="shared" si="11"/>
        <v>9</v>
      </c>
      <c r="AO152" s="81">
        <f t="shared" si="12"/>
        <v>-10</v>
      </c>
      <c r="AP152" s="82">
        <f t="shared" si="10"/>
        <v>0</v>
      </c>
      <c r="AQ152" s="81">
        <f t="shared" si="13"/>
        <v>-10</v>
      </c>
      <c r="AR152" s="82">
        <f t="shared" si="14"/>
        <v>0.01</v>
      </c>
      <c r="AS152" s="15"/>
      <c r="AT152" s="15"/>
      <c r="AU152" s="16"/>
      <c r="AV152" s="17"/>
      <c r="AW152" s="16"/>
      <c r="AX152" s="15"/>
      <c r="AY152" s="19"/>
      <c r="AZ152" s="15"/>
      <c r="BA152" s="18"/>
      <c r="BB152" s="17"/>
      <c r="BC152" s="17"/>
      <c r="BD152" s="17"/>
      <c r="BE152" s="6"/>
    </row>
    <row r="153" spans="1:57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00"/>
      <c r="AB153" s="100"/>
      <c r="AC153" s="11"/>
      <c r="AD153" s="11"/>
      <c r="AE153" s="11"/>
      <c r="AF153" s="11"/>
      <c r="AG153" s="11"/>
      <c r="AH153" s="11"/>
      <c r="AI153" s="11"/>
      <c r="AJ153" s="11"/>
      <c r="AK153" s="11"/>
      <c r="AL153" s="52"/>
      <c r="AM153" s="53"/>
      <c r="AN153" s="53">
        <f t="shared" si="11"/>
        <v>9</v>
      </c>
      <c r="AO153" s="77">
        <f t="shared" si="12"/>
        <v>-10</v>
      </c>
      <c r="AP153" s="54">
        <f t="shared" si="10"/>
        <v>0</v>
      </c>
      <c r="AQ153" s="77">
        <f t="shared" si="13"/>
        <v>-10</v>
      </c>
      <c r="AR153" s="54">
        <f t="shared" si="14"/>
        <v>0.01</v>
      </c>
      <c r="AS153" s="15"/>
      <c r="AT153" s="15"/>
      <c r="AU153" s="16"/>
      <c r="AV153" s="17"/>
      <c r="AW153" s="16"/>
      <c r="AX153" s="15"/>
      <c r="AY153" s="19"/>
      <c r="AZ153" s="15"/>
      <c r="BA153" s="18"/>
      <c r="BB153" s="17"/>
      <c r="BC153" s="17"/>
      <c r="BD153" s="17"/>
      <c r="BE153" s="6"/>
    </row>
    <row r="154" spans="1:57" x14ac:dyDescent="0.25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00"/>
      <c r="AB154" s="100"/>
      <c r="AC154" s="11"/>
      <c r="AD154" s="11"/>
      <c r="AE154" s="11"/>
      <c r="AF154" s="11"/>
      <c r="AG154" s="11"/>
      <c r="AH154" s="11"/>
      <c r="AI154" s="11"/>
      <c r="AJ154" s="11"/>
      <c r="AK154" s="11"/>
      <c r="AL154" s="57"/>
      <c r="AM154" s="80"/>
      <c r="AN154" s="80">
        <f t="shared" si="11"/>
        <v>9</v>
      </c>
      <c r="AO154" s="81">
        <f t="shared" si="12"/>
        <v>-10</v>
      </c>
      <c r="AP154" s="82">
        <f t="shared" si="10"/>
        <v>0</v>
      </c>
      <c r="AQ154" s="81">
        <f t="shared" si="13"/>
        <v>-10</v>
      </c>
      <c r="AR154" s="82">
        <f t="shared" si="14"/>
        <v>0.01</v>
      </c>
      <c r="AS154" s="15"/>
      <c r="AT154" s="15"/>
      <c r="AU154" s="16"/>
      <c r="AV154" s="17"/>
      <c r="AW154" s="16"/>
      <c r="AX154" s="15"/>
      <c r="AY154" s="19"/>
      <c r="AZ154" s="15"/>
      <c r="BA154" s="18"/>
      <c r="BB154" s="17"/>
      <c r="BC154" s="17"/>
      <c r="BD154" s="17"/>
      <c r="BE154" s="6"/>
    </row>
    <row r="155" spans="1:57" x14ac:dyDescent="0.25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00"/>
      <c r="AB155" s="100"/>
      <c r="AC155" s="11"/>
      <c r="AD155" s="11"/>
      <c r="AE155" s="11"/>
      <c r="AF155" s="11"/>
      <c r="AG155" s="11"/>
      <c r="AH155" s="11"/>
      <c r="AI155" s="11"/>
      <c r="AJ155" s="11"/>
      <c r="AK155" s="11"/>
      <c r="AL155" s="52"/>
      <c r="AM155" s="53"/>
      <c r="AN155" s="53">
        <f t="shared" si="11"/>
        <v>9</v>
      </c>
      <c r="AO155" s="77">
        <f t="shared" si="12"/>
        <v>-10</v>
      </c>
      <c r="AP155" s="54">
        <f t="shared" si="10"/>
        <v>0</v>
      </c>
      <c r="AQ155" s="77">
        <f t="shared" si="13"/>
        <v>-10</v>
      </c>
      <c r="AR155" s="54">
        <f t="shared" si="14"/>
        <v>0.01</v>
      </c>
      <c r="AS155" s="15"/>
      <c r="AT155" s="15"/>
      <c r="AU155" s="16"/>
      <c r="AV155" s="17"/>
      <c r="AW155" s="16"/>
      <c r="AX155" s="15"/>
      <c r="AY155" s="19"/>
      <c r="AZ155" s="15"/>
      <c r="BA155" s="18"/>
      <c r="BB155" s="17"/>
      <c r="BC155" s="17"/>
      <c r="BD155" s="17"/>
      <c r="BE155" s="6"/>
    </row>
    <row r="156" spans="1:57" x14ac:dyDescent="0.25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00"/>
      <c r="AB156" s="100"/>
      <c r="AC156" s="11"/>
      <c r="AD156" s="11"/>
      <c r="AE156" s="11"/>
      <c r="AF156" s="11"/>
      <c r="AG156" s="11"/>
      <c r="AH156" s="11"/>
      <c r="AI156" s="11"/>
      <c r="AJ156" s="11"/>
      <c r="AK156" s="11"/>
      <c r="AL156" s="57"/>
      <c r="AM156" s="80"/>
      <c r="AN156" s="80">
        <f t="shared" si="11"/>
        <v>9</v>
      </c>
      <c r="AO156" s="81">
        <f t="shared" si="12"/>
        <v>-10</v>
      </c>
      <c r="AP156" s="82">
        <f t="shared" si="10"/>
        <v>0</v>
      </c>
      <c r="AQ156" s="81">
        <f t="shared" si="13"/>
        <v>-10</v>
      </c>
      <c r="AR156" s="82">
        <f t="shared" si="14"/>
        <v>0.01</v>
      </c>
      <c r="AS156" s="15"/>
      <c r="AT156" s="15"/>
      <c r="AU156" s="16"/>
      <c r="AV156" s="17"/>
      <c r="AW156" s="16"/>
      <c r="AX156" s="15"/>
      <c r="AY156" s="19"/>
      <c r="AZ156" s="15"/>
      <c r="BA156" s="18"/>
      <c r="BB156" s="17"/>
      <c r="BC156" s="17"/>
      <c r="BD156" s="17"/>
      <c r="BE156" s="6"/>
    </row>
    <row r="157" spans="1:57" x14ac:dyDescent="0.25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00"/>
      <c r="AB157" s="100"/>
      <c r="AC157" s="11"/>
      <c r="AD157" s="11"/>
      <c r="AE157" s="11"/>
      <c r="AF157" s="11"/>
      <c r="AG157" s="11"/>
      <c r="AH157" s="11"/>
      <c r="AI157" s="11"/>
      <c r="AJ157" s="11"/>
      <c r="AK157" s="11"/>
      <c r="AL157" s="52"/>
      <c r="AM157" s="53"/>
      <c r="AN157" s="53">
        <f t="shared" si="11"/>
        <v>9</v>
      </c>
      <c r="AO157" s="77">
        <f t="shared" si="12"/>
        <v>-10</v>
      </c>
      <c r="AP157" s="54">
        <f t="shared" si="10"/>
        <v>0</v>
      </c>
      <c r="AQ157" s="77">
        <f t="shared" si="13"/>
        <v>-10</v>
      </c>
      <c r="AR157" s="54">
        <f t="shared" si="14"/>
        <v>0.01</v>
      </c>
      <c r="AS157" s="15"/>
      <c r="AT157" s="15"/>
      <c r="AU157" s="16"/>
      <c r="AV157" s="17"/>
      <c r="AW157" s="16"/>
      <c r="AX157" s="15"/>
      <c r="AY157" s="19"/>
      <c r="AZ157" s="15"/>
      <c r="BA157" s="18"/>
      <c r="BB157" s="17"/>
      <c r="BC157" s="17"/>
      <c r="BD157" s="17"/>
      <c r="BE157" s="6"/>
    </row>
    <row r="158" spans="1:57" x14ac:dyDescent="0.25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00"/>
      <c r="AB158" s="100"/>
      <c r="AC158" s="11"/>
      <c r="AD158" s="11"/>
      <c r="AE158" s="11"/>
      <c r="AF158" s="11"/>
      <c r="AG158" s="11"/>
      <c r="AH158" s="11"/>
      <c r="AI158" s="11"/>
      <c r="AJ158" s="11"/>
      <c r="AK158" s="11"/>
      <c r="AL158" s="57"/>
      <c r="AM158" s="80"/>
      <c r="AN158" s="80">
        <f t="shared" si="11"/>
        <v>9</v>
      </c>
      <c r="AO158" s="81">
        <f t="shared" si="12"/>
        <v>-10</v>
      </c>
      <c r="AP158" s="82">
        <f t="shared" si="10"/>
        <v>0</v>
      </c>
      <c r="AQ158" s="81">
        <f t="shared" si="13"/>
        <v>-10</v>
      </c>
      <c r="AR158" s="82">
        <f t="shared" si="14"/>
        <v>0.01</v>
      </c>
      <c r="AS158" s="15"/>
      <c r="AT158" s="15"/>
      <c r="AU158" s="16"/>
      <c r="AV158" s="17"/>
      <c r="AW158" s="16"/>
      <c r="AX158" s="15"/>
      <c r="AY158" s="19"/>
      <c r="AZ158" s="15"/>
      <c r="BA158" s="18"/>
      <c r="BB158" s="17"/>
      <c r="BC158" s="17"/>
      <c r="BD158" s="17"/>
      <c r="BE158" s="6"/>
    </row>
    <row r="159" spans="1:57" x14ac:dyDescent="0.25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00"/>
      <c r="AB159" s="100"/>
      <c r="AC159" s="11"/>
      <c r="AD159" s="11"/>
      <c r="AE159" s="11"/>
      <c r="AF159" s="11"/>
      <c r="AG159" s="11"/>
      <c r="AH159" s="11"/>
      <c r="AI159" s="11"/>
      <c r="AJ159" s="11"/>
      <c r="AK159" s="11"/>
      <c r="AL159" s="52"/>
      <c r="AM159" s="53"/>
      <c r="AN159" s="53">
        <f t="shared" si="11"/>
        <v>9</v>
      </c>
      <c r="AO159" s="77">
        <f t="shared" si="12"/>
        <v>-10</v>
      </c>
      <c r="AP159" s="54">
        <f t="shared" si="10"/>
        <v>0</v>
      </c>
      <c r="AQ159" s="77">
        <f t="shared" si="13"/>
        <v>-10</v>
      </c>
      <c r="AR159" s="54">
        <f t="shared" si="14"/>
        <v>0.01</v>
      </c>
      <c r="AS159" s="15"/>
      <c r="AT159" s="15"/>
      <c r="AU159" s="16"/>
      <c r="AV159" s="17"/>
      <c r="AW159" s="16"/>
      <c r="AX159" s="15"/>
      <c r="AY159" s="19"/>
      <c r="AZ159" s="15"/>
      <c r="BA159" s="18"/>
      <c r="BB159" s="17"/>
      <c r="BC159" s="17"/>
      <c r="BD159" s="17"/>
      <c r="BE159" s="6"/>
    </row>
    <row r="160" spans="1:57" x14ac:dyDescent="0.25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00"/>
      <c r="AB160" s="100"/>
      <c r="AC160" s="11"/>
      <c r="AD160" s="11"/>
      <c r="AE160" s="11"/>
      <c r="AF160" s="11"/>
      <c r="AG160" s="11"/>
      <c r="AH160" s="11"/>
      <c r="AI160" s="11"/>
      <c r="AJ160" s="11"/>
      <c r="AK160" s="11"/>
      <c r="AL160" s="57"/>
      <c r="AM160" s="80"/>
      <c r="AN160" s="80">
        <f t="shared" si="11"/>
        <v>9</v>
      </c>
      <c r="AO160" s="81">
        <f t="shared" si="12"/>
        <v>-10</v>
      </c>
      <c r="AP160" s="82">
        <f t="shared" si="10"/>
        <v>0</v>
      </c>
      <c r="AQ160" s="81">
        <f t="shared" si="13"/>
        <v>-10</v>
      </c>
      <c r="AR160" s="82">
        <f t="shared" si="14"/>
        <v>0.01</v>
      </c>
      <c r="AS160" s="15"/>
      <c r="AT160" s="15"/>
      <c r="AU160" s="16"/>
      <c r="AV160" s="17"/>
      <c r="AW160" s="16"/>
      <c r="AX160" s="15"/>
      <c r="AY160" s="19"/>
      <c r="AZ160" s="15"/>
      <c r="BA160" s="18"/>
      <c r="BB160" s="17"/>
      <c r="BC160" s="17"/>
      <c r="BD160" s="17"/>
      <c r="BE160" s="6"/>
    </row>
    <row r="161" spans="1:57" x14ac:dyDescent="0.25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00"/>
      <c r="AB161" s="100"/>
      <c r="AC161" s="11"/>
      <c r="AD161" s="11"/>
      <c r="AE161" s="11"/>
      <c r="AF161" s="11"/>
      <c r="AG161" s="11"/>
      <c r="AH161" s="11"/>
      <c r="AI161" s="11"/>
      <c r="AJ161" s="11"/>
      <c r="AK161" s="11"/>
      <c r="AL161" s="52"/>
      <c r="AM161" s="53"/>
      <c r="AN161" s="53">
        <f t="shared" si="11"/>
        <v>9</v>
      </c>
      <c r="AO161" s="77">
        <f t="shared" si="12"/>
        <v>-10</v>
      </c>
      <c r="AP161" s="54">
        <f t="shared" si="10"/>
        <v>0</v>
      </c>
      <c r="AQ161" s="77">
        <f t="shared" si="13"/>
        <v>-10</v>
      </c>
      <c r="AR161" s="54">
        <f t="shared" si="14"/>
        <v>0.01</v>
      </c>
      <c r="AS161" s="15"/>
      <c r="AT161" s="15"/>
      <c r="AU161" s="16"/>
      <c r="AV161" s="17"/>
      <c r="AW161" s="16"/>
      <c r="AX161" s="15"/>
      <c r="AY161" s="19"/>
      <c r="AZ161" s="15"/>
      <c r="BA161" s="18"/>
      <c r="BB161" s="17"/>
      <c r="BC161" s="17"/>
      <c r="BD161" s="17"/>
      <c r="BE161" s="6"/>
    </row>
    <row r="162" spans="1:57" x14ac:dyDescent="0.25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00"/>
      <c r="AB162" s="100"/>
      <c r="AC162" s="11"/>
      <c r="AD162" s="11"/>
      <c r="AE162" s="11"/>
      <c r="AF162" s="11"/>
      <c r="AG162" s="11"/>
      <c r="AH162" s="11"/>
      <c r="AI162" s="11"/>
      <c r="AJ162" s="11"/>
      <c r="AK162" s="11"/>
      <c r="AL162" s="57"/>
      <c r="AM162" s="80"/>
      <c r="AN162" s="80">
        <f t="shared" si="11"/>
        <v>9</v>
      </c>
      <c r="AO162" s="81">
        <f t="shared" si="12"/>
        <v>-10</v>
      </c>
      <c r="AP162" s="82">
        <f t="shared" si="10"/>
        <v>0</v>
      </c>
      <c r="AQ162" s="81">
        <f t="shared" si="13"/>
        <v>-10</v>
      </c>
      <c r="AR162" s="82">
        <f t="shared" si="14"/>
        <v>0.01</v>
      </c>
      <c r="AS162" s="15"/>
      <c r="AT162" s="15"/>
      <c r="AU162" s="16"/>
      <c r="AV162" s="17"/>
      <c r="AW162" s="16"/>
      <c r="AX162" s="15"/>
      <c r="AY162" s="19"/>
      <c r="AZ162" s="15"/>
      <c r="BA162" s="18"/>
      <c r="BB162" s="17"/>
      <c r="BC162" s="17"/>
      <c r="BD162" s="17"/>
      <c r="BE162" s="6"/>
    </row>
    <row r="163" spans="1:57" x14ac:dyDescent="0.25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00"/>
      <c r="AB163" s="100"/>
      <c r="AC163" s="11"/>
      <c r="AD163" s="11"/>
      <c r="AE163" s="11"/>
      <c r="AF163" s="11"/>
      <c r="AG163" s="11"/>
      <c r="AH163" s="11"/>
      <c r="AI163" s="11"/>
      <c r="AJ163" s="11"/>
      <c r="AK163" s="11"/>
      <c r="AL163" s="52"/>
      <c r="AM163" s="53"/>
      <c r="AN163" s="53">
        <f t="shared" si="11"/>
        <v>9</v>
      </c>
      <c r="AO163" s="77">
        <f t="shared" si="12"/>
        <v>-10</v>
      </c>
      <c r="AP163" s="54">
        <f t="shared" si="10"/>
        <v>0</v>
      </c>
      <c r="AQ163" s="77">
        <f t="shared" si="13"/>
        <v>-10</v>
      </c>
      <c r="AR163" s="54">
        <f t="shared" si="14"/>
        <v>0.01</v>
      </c>
      <c r="AS163" s="15"/>
      <c r="AT163" s="15"/>
      <c r="AU163" s="16"/>
      <c r="AV163" s="17"/>
      <c r="AW163" s="16"/>
      <c r="AX163" s="15"/>
      <c r="AY163" s="19"/>
      <c r="AZ163" s="15"/>
      <c r="BA163" s="18"/>
      <c r="BB163" s="17"/>
      <c r="BC163" s="17"/>
      <c r="BD163" s="17"/>
      <c r="BE163" s="6"/>
    </row>
    <row r="164" spans="1:57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00"/>
      <c r="AB164" s="100"/>
      <c r="AC164" s="11"/>
      <c r="AD164" s="11"/>
      <c r="AE164" s="11"/>
      <c r="AF164" s="11"/>
      <c r="AG164" s="11"/>
      <c r="AH164" s="11"/>
      <c r="AI164" s="11"/>
      <c r="AJ164" s="11"/>
      <c r="AK164" s="11"/>
      <c r="AL164" s="57"/>
      <c r="AM164" s="80"/>
      <c r="AN164" s="80">
        <f t="shared" si="11"/>
        <v>9</v>
      </c>
      <c r="AO164" s="81">
        <f t="shared" si="12"/>
        <v>-10</v>
      </c>
      <c r="AP164" s="82">
        <f t="shared" si="10"/>
        <v>0</v>
      </c>
      <c r="AQ164" s="81">
        <f t="shared" si="13"/>
        <v>-10</v>
      </c>
      <c r="AR164" s="82">
        <f t="shared" si="14"/>
        <v>0.01</v>
      </c>
      <c r="AS164" s="15"/>
      <c r="AT164" s="15"/>
      <c r="AU164" s="16"/>
      <c r="AV164" s="17"/>
      <c r="AW164" s="16"/>
      <c r="AX164" s="15"/>
      <c r="AY164" s="19"/>
      <c r="AZ164" s="15"/>
      <c r="BA164" s="18"/>
      <c r="BB164" s="17"/>
      <c r="BC164" s="17"/>
      <c r="BD164" s="17"/>
      <c r="BE164" s="6"/>
    </row>
    <row r="165" spans="1:57" x14ac:dyDescent="0.25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00"/>
      <c r="AB165" s="100"/>
      <c r="AC165" s="11"/>
      <c r="AD165" s="11"/>
      <c r="AE165" s="11"/>
      <c r="AF165" s="11"/>
      <c r="AG165" s="11"/>
      <c r="AH165" s="11"/>
      <c r="AI165" s="11"/>
      <c r="AJ165" s="11"/>
      <c r="AK165" s="11"/>
      <c r="AL165" s="52"/>
      <c r="AM165" s="53"/>
      <c r="AN165" s="53">
        <f t="shared" si="11"/>
        <v>9</v>
      </c>
      <c r="AO165" s="77">
        <f t="shared" si="12"/>
        <v>-10</v>
      </c>
      <c r="AP165" s="54">
        <f t="shared" si="10"/>
        <v>0</v>
      </c>
      <c r="AQ165" s="77">
        <f t="shared" si="13"/>
        <v>-10</v>
      </c>
      <c r="AR165" s="54">
        <f t="shared" si="14"/>
        <v>0.01</v>
      </c>
      <c r="AS165" s="15"/>
      <c r="AT165" s="15"/>
      <c r="AU165" s="16"/>
      <c r="AV165" s="17"/>
      <c r="AW165" s="16"/>
      <c r="AX165" s="15"/>
      <c r="AY165" s="19"/>
      <c r="AZ165" s="15"/>
      <c r="BA165" s="18"/>
      <c r="BB165" s="17"/>
      <c r="BC165" s="17"/>
      <c r="BD165" s="17"/>
      <c r="BE165" s="6"/>
    </row>
    <row r="166" spans="1:57" x14ac:dyDescent="0.25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00"/>
      <c r="AB166" s="100"/>
      <c r="AC166" s="11"/>
      <c r="AD166" s="11"/>
      <c r="AE166" s="11"/>
      <c r="AF166" s="11"/>
      <c r="AG166" s="11"/>
      <c r="AH166" s="11"/>
      <c r="AI166" s="11"/>
      <c r="AJ166" s="11"/>
      <c r="AK166" s="11"/>
      <c r="AL166" s="57"/>
      <c r="AM166" s="80"/>
      <c r="AN166" s="80">
        <f t="shared" si="11"/>
        <v>9</v>
      </c>
      <c r="AO166" s="81">
        <f t="shared" si="12"/>
        <v>-10</v>
      </c>
      <c r="AP166" s="82">
        <f t="shared" si="10"/>
        <v>0</v>
      </c>
      <c r="AQ166" s="81">
        <f t="shared" si="13"/>
        <v>-10</v>
      </c>
      <c r="AR166" s="82">
        <f t="shared" si="14"/>
        <v>0.01</v>
      </c>
      <c r="AS166" s="15"/>
      <c r="AT166" s="15"/>
      <c r="AU166" s="16"/>
      <c r="AV166" s="17"/>
      <c r="AW166" s="16"/>
      <c r="AX166" s="15"/>
      <c r="AY166" s="19"/>
      <c r="AZ166" s="15"/>
      <c r="BA166" s="18"/>
      <c r="BB166" s="17"/>
      <c r="BC166" s="17"/>
      <c r="BD166" s="17"/>
      <c r="BE166" s="6"/>
    </row>
    <row r="167" spans="1:57" x14ac:dyDescent="0.25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00"/>
      <c r="AB167" s="100"/>
      <c r="AC167" s="11"/>
      <c r="AD167" s="11"/>
      <c r="AE167" s="11"/>
      <c r="AF167" s="11"/>
      <c r="AG167" s="11"/>
      <c r="AH167" s="11"/>
      <c r="AI167" s="11"/>
      <c r="AJ167" s="11"/>
      <c r="AK167" s="11"/>
      <c r="AL167" s="52"/>
      <c r="AM167" s="53"/>
      <c r="AN167" s="53">
        <f t="shared" si="11"/>
        <v>9</v>
      </c>
      <c r="AO167" s="77">
        <f t="shared" si="12"/>
        <v>-10</v>
      </c>
      <c r="AP167" s="54">
        <f t="shared" si="10"/>
        <v>0</v>
      </c>
      <c r="AQ167" s="77">
        <f t="shared" si="13"/>
        <v>-10</v>
      </c>
      <c r="AR167" s="54">
        <f t="shared" si="14"/>
        <v>0.01</v>
      </c>
      <c r="AS167" s="15"/>
      <c r="AT167" s="15"/>
      <c r="AU167" s="16"/>
      <c r="AV167" s="17"/>
      <c r="AW167" s="16"/>
      <c r="AX167" s="15"/>
      <c r="AY167" s="19"/>
      <c r="AZ167" s="15"/>
      <c r="BA167" s="18"/>
      <c r="BB167" s="17"/>
      <c r="BC167" s="17"/>
      <c r="BD167" s="17"/>
      <c r="BE167" s="6"/>
    </row>
    <row r="168" spans="1:57" x14ac:dyDescent="0.25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00"/>
      <c r="AB168" s="100"/>
      <c r="AC168" s="11"/>
      <c r="AD168" s="11"/>
      <c r="AE168" s="11"/>
      <c r="AF168" s="11"/>
      <c r="AG168" s="11"/>
      <c r="AH168" s="11"/>
      <c r="AI168" s="11"/>
      <c r="AJ168" s="11"/>
      <c r="AK168" s="11"/>
      <c r="AL168" s="57"/>
      <c r="AM168" s="80"/>
      <c r="AN168" s="80">
        <f t="shared" si="11"/>
        <v>9</v>
      </c>
      <c r="AO168" s="81">
        <f t="shared" si="12"/>
        <v>-10</v>
      </c>
      <c r="AP168" s="82">
        <f t="shared" si="10"/>
        <v>0</v>
      </c>
      <c r="AQ168" s="81">
        <f t="shared" si="13"/>
        <v>-10</v>
      </c>
      <c r="AR168" s="82">
        <f t="shared" si="14"/>
        <v>0.01</v>
      </c>
      <c r="AS168" s="15"/>
      <c r="AT168" s="15"/>
      <c r="AU168" s="16"/>
      <c r="AV168" s="17"/>
      <c r="AW168" s="16"/>
      <c r="AX168" s="15"/>
      <c r="AY168" s="19"/>
      <c r="AZ168" s="15"/>
      <c r="BA168" s="18"/>
      <c r="BB168" s="17"/>
      <c r="BC168" s="17"/>
      <c r="BD168" s="17"/>
      <c r="BE168" s="6"/>
    </row>
    <row r="169" spans="1:57" x14ac:dyDescent="0.25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00"/>
      <c r="AB169" s="100"/>
      <c r="AC169" s="11"/>
      <c r="AD169" s="11"/>
      <c r="AE169" s="11"/>
      <c r="AF169" s="11"/>
      <c r="AG169" s="11"/>
      <c r="AH169" s="11"/>
      <c r="AI169" s="11"/>
      <c r="AJ169" s="11"/>
      <c r="AK169" s="11"/>
      <c r="AL169" s="52"/>
      <c r="AM169" s="53"/>
      <c r="AN169" s="53">
        <f t="shared" si="11"/>
        <v>9</v>
      </c>
      <c r="AO169" s="77">
        <f t="shared" si="12"/>
        <v>-10</v>
      </c>
      <c r="AP169" s="54">
        <f t="shared" si="10"/>
        <v>0</v>
      </c>
      <c r="AQ169" s="77">
        <f t="shared" si="13"/>
        <v>-10</v>
      </c>
      <c r="AR169" s="54">
        <f t="shared" si="14"/>
        <v>0.01</v>
      </c>
      <c r="AS169" s="15"/>
      <c r="AT169" s="15"/>
      <c r="AU169" s="16"/>
      <c r="AV169" s="17"/>
      <c r="AW169" s="16"/>
      <c r="AX169" s="15"/>
      <c r="AY169" s="19"/>
      <c r="AZ169" s="15"/>
      <c r="BA169" s="18"/>
      <c r="BB169" s="17"/>
      <c r="BC169" s="17"/>
      <c r="BD169" s="17"/>
      <c r="BE169" s="6"/>
    </row>
    <row r="170" spans="1:57" x14ac:dyDescent="0.25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00"/>
      <c r="AB170" s="100"/>
      <c r="AC170" s="11"/>
      <c r="AD170" s="11"/>
      <c r="AE170" s="11"/>
      <c r="AF170" s="11"/>
      <c r="AG170" s="11"/>
      <c r="AH170" s="11"/>
      <c r="AI170" s="11"/>
      <c r="AJ170" s="11"/>
      <c r="AK170" s="11"/>
      <c r="AL170" s="57"/>
      <c r="AM170" s="80"/>
      <c r="AN170" s="80">
        <f t="shared" si="11"/>
        <v>9</v>
      </c>
      <c r="AO170" s="81">
        <f t="shared" si="12"/>
        <v>-10</v>
      </c>
      <c r="AP170" s="82">
        <f t="shared" si="10"/>
        <v>0</v>
      </c>
      <c r="AQ170" s="81">
        <f t="shared" si="13"/>
        <v>-10</v>
      </c>
      <c r="AR170" s="82">
        <f t="shared" si="14"/>
        <v>0.01</v>
      </c>
      <c r="AS170" s="15"/>
      <c r="AT170" s="15"/>
      <c r="AU170" s="16"/>
      <c r="AV170" s="17"/>
      <c r="AW170" s="16"/>
      <c r="AX170" s="15"/>
      <c r="AY170" s="19"/>
      <c r="AZ170" s="15"/>
      <c r="BA170" s="18"/>
      <c r="BB170" s="17"/>
      <c r="BC170" s="17"/>
      <c r="BD170" s="17"/>
      <c r="BE170" s="6"/>
    </row>
    <row r="171" spans="1:57" x14ac:dyDescent="0.25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00"/>
      <c r="AB171" s="100"/>
      <c r="AC171" s="11"/>
      <c r="AD171" s="11"/>
      <c r="AE171" s="11"/>
      <c r="AF171" s="11"/>
      <c r="AG171" s="11"/>
      <c r="AH171" s="11"/>
      <c r="AI171" s="11"/>
      <c r="AJ171" s="11"/>
      <c r="AK171" s="11"/>
      <c r="AL171" s="52"/>
      <c r="AM171" s="53"/>
      <c r="AN171" s="53">
        <f t="shared" si="11"/>
        <v>9</v>
      </c>
      <c r="AO171" s="77">
        <f t="shared" si="12"/>
        <v>-10</v>
      </c>
      <c r="AP171" s="54">
        <f t="shared" si="10"/>
        <v>0</v>
      </c>
      <c r="AQ171" s="77">
        <f t="shared" si="13"/>
        <v>-10</v>
      </c>
      <c r="AR171" s="54">
        <f t="shared" si="14"/>
        <v>0.01</v>
      </c>
      <c r="AS171" s="15"/>
      <c r="AT171" s="15"/>
      <c r="AU171" s="16"/>
      <c r="AV171" s="17"/>
      <c r="AW171" s="16"/>
      <c r="AX171" s="15"/>
      <c r="AY171" s="19"/>
      <c r="AZ171" s="15"/>
      <c r="BA171" s="18"/>
      <c r="BB171" s="17"/>
      <c r="BC171" s="17"/>
      <c r="BD171" s="17"/>
      <c r="BE171" s="6"/>
    </row>
    <row r="172" spans="1:57" x14ac:dyDescent="0.25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00"/>
      <c r="AB172" s="100"/>
      <c r="AC172" s="11"/>
      <c r="AD172" s="11"/>
      <c r="AE172" s="11"/>
      <c r="AF172" s="11"/>
      <c r="AG172" s="11"/>
      <c r="AH172" s="11"/>
      <c r="AI172" s="11"/>
      <c r="AJ172" s="11"/>
      <c r="AK172" s="11"/>
      <c r="AL172" s="57"/>
      <c r="AM172" s="80"/>
      <c r="AN172" s="80">
        <f t="shared" si="11"/>
        <v>9</v>
      </c>
      <c r="AO172" s="81">
        <f t="shared" si="12"/>
        <v>-10</v>
      </c>
      <c r="AP172" s="82">
        <f t="shared" si="10"/>
        <v>0</v>
      </c>
      <c r="AQ172" s="81">
        <f t="shared" si="13"/>
        <v>-10</v>
      </c>
      <c r="AR172" s="82">
        <f t="shared" si="14"/>
        <v>0.01</v>
      </c>
      <c r="AS172" s="15"/>
      <c r="AT172" s="15"/>
      <c r="AU172" s="16"/>
      <c r="AV172" s="17"/>
      <c r="AW172" s="16"/>
      <c r="AX172" s="15"/>
      <c r="AY172" s="19"/>
      <c r="AZ172" s="15"/>
      <c r="BA172" s="18"/>
      <c r="BB172" s="17"/>
      <c r="BC172" s="17"/>
      <c r="BD172" s="17"/>
      <c r="BE172" s="6"/>
    </row>
    <row r="173" spans="1:57" x14ac:dyDescent="0.25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00"/>
      <c r="AB173" s="100"/>
      <c r="AC173" s="11"/>
      <c r="AD173" s="11"/>
      <c r="AE173" s="11"/>
      <c r="AF173" s="11"/>
      <c r="AG173" s="11"/>
      <c r="AH173" s="11"/>
      <c r="AI173" s="11"/>
      <c r="AJ173" s="11"/>
      <c r="AK173" s="11"/>
      <c r="AL173" s="52"/>
      <c r="AM173" s="53"/>
      <c r="AN173" s="53">
        <f t="shared" si="11"/>
        <v>9</v>
      </c>
      <c r="AO173" s="77">
        <f t="shared" si="12"/>
        <v>-10</v>
      </c>
      <c r="AP173" s="54">
        <f t="shared" si="10"/>
        <v>0</v>
      </c>
      <c r="AQ173" s="77">
        <f t="shared" si="13"/>
        <v>-10</v>
      </c>
      <c r="AR173" s="54">
        <f t="shared" si="14"/>
        <v>0.01</v>
      </c>
      <c r="AS173" s="15"/>
      <c r="AT173" s="15"/>
      <c r="AU173" s="16"/>
      <c r="AV173" s="17"/>
      <c r="AW173" s="16"/>
      <c r="AX173" s="15"/>
      <c r="AY173" s="19"/>
      <c r="AZ173" s="15"/>
      <c r="BA173" s="18"/>
      <c r="BB173" s="17"/>
      <c r="BC173" s="17"/>
      <c r="BD173" s="17"/>
      <c r="BE173" s="6"/>
    </row>
    <row r="174" spans="1:57" x14ac:dyDescent="0.25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00"/>
      <c r="AB174" s="100"/>
      <c r="AC174" s="11"/>
      <c r="AD174" s="11"/>
      <c r="AE174" s="11"/>
      <c r="AF174" s="11"/>
      <c r="AG174" s="11"/>
      <c r="AH174" s="11"/>
      <c r="AI174" s="11"/>
      <c r="AJ174" s="11"/>
      <c r="AK174" s="11"/>
      <c r="AL174" s="57"/>
      <c r="AM174" s="80"/>
      <c r="AN174" s="80">
        <f t="shared" si="11"/>
        <v>9</v>
      </c>
      <c r="AO174" s="81">
        <f t="shared" si="12"/>
        <v>-10</v>
      </c>
      <c r="AP174" s="82">
        <f t="shared" si="10"/>
        <v>0</v>
      </c>
      <c r="AQ174" s="81">
        <f t="shared" si="13"/>
        <v>-10</v>
      </c>
      <c r="AR174" s="82">
        <f t="shared" si="14"/>
        <v>0.01</v>
      </c>
      <c r="AS174" s="15"/>
      <c r="AT174" s="15"/>
      <c r="AU174" s="16"/>
      <c r="AV174" s="17"/>
      <c r="AW174" s="16"/>
      <c r="AX174" s="15"/>
      <c r="AY174" s="19"/>
      <c r="AZ174" s="15"/>
      <c r="BA174" s="18"/>
      <c r="BB174" s="17"/>
      <c r="BC174" s="17"/>
      <c r="BD174" s="17"/>
      <c r="BE174" s="6"/>
    </row>
    <row r="175" spans="1:57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00"/>
      <c r="AB175" s="100"/>
      <c r="AC175" s="11"/>
      <c r="AD175" s="11"/>
      <c r="AE175" s="11"/>
      <c r="AF175" s="11"/>
      <c r="AG175" s="11"/>
      <c r="AH175" s="11"/>
      <c r="AI175" s="11"/>
      <c r="AJ175" s="11"/>
      <c r="AK175" s="11"/>
      <c r="AL175" s="52"/>
      <c r="AM175" s="53"/>
      <c r="AN175" s="53">
        <f t="shared" si="11"/>
        <v>9</v>
      </c>
      <c r="AO175" s="77">
        <f t="shared" si="12"/>
        <v>-10</v>
      </c>
      <c r="AP175" s="54">
        <f t="shared" si="10"/>
        <v>0</v>
      </c>
      <c r="AQ175" s="77">
        <f t="shared" si="13"/>
        <v>-10</v>
      </c>
      <c r="AR175" s="54">
        <f t="shared" si="14"/>
        <v>0.01</v>
      </c>
      <c r="AS175" s="15"/>
      <c r="AT175" s="15"/>
      <c r="AU175" s="16"/>
      <c r="AV175" s="17"/>
      <c r="AW175" s="16"/>
      <c r="AX175" s="15"/>
      <c r="AY175" s="19"/>
      <c r="AZ175" s="15"/>
      <c r="BA175" s="18"/>
      <c r="BB175" s="17"/>
      <c r="BC175" s="17"/>
      <c r="BD175" s="17"/>
      <c r="BE175" s="6"/>
    </row>
    <row r="176" spans="1:57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00"/>
      <c r="AB176" s="100"/>
      <c r="AC176" s="11"/>
      <c r="AD176" s="11"/>
      <c r="AE176" s="11"/>
      <c r="AF176" s="11"/>
      <c r="AG176" s="11"/>
      <c r="AH176" s="11"/>
      <c r="AI176" s="11"/>
      <c r="AJ176" s="11"/>
      <c r="AK176" s="11"/>
      <c r="AL176" s="57"/>
      <c r="AM176" s="80"/>
      <c r="AN176" s="80">
        <f t="shared" si="11"/>
        <v>9</v>
      </c>
      <c r="AO176" s="81">
        <f t="shared" si="12"/>
        <v>-10</v>
      </c>
      <c r="AP176" s="82">
        <f t="shared" si="10"/>
        <v>0</v>
      </c>
      <c r="AQ176" s="81">
        <f t="shared" si="13"/>
        <v>-10</v>
      </c>
      <c r="AR176" s="82">
        <f t="shared" si="14"/>
        <v>0.01</v>
      </c>
      <c r="AS176" s="15"/>
      <c r="AT176" s="15"/>
      <c r="AU176" s="16"/>
      <c r="AV176" s="17"/>
      <c r="AW176" s="16"/>
      <c r="AX176" s="15"/>
      <c r="AY176" s="19"/>
      <c r="AZ176" s="15"/>
      <c r="BA176" s="18"/>
      <c r="BB176" s="17"/>
      <c r="BC176" s="17"/>
      <c r="BD176" s="17"/>
      <c r="BE176" s="6"/>
    </row>
    <row r="177" spans="1:57" x14ac:dyDescent="0.25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00"/>
      <c r="AB177" s="100"/>
      <c r="AC177" s="11"/>
      <c r="AD177" s="11"/>
      <c r="AE177" s="11"/>
      <c r="AF177" s="11"/>
      <c r="AG177" s="11"/>
      <c r="AH177" s="11"/>
      <c r="AI177" s="11"/>
      <c r="AJ177" s="11"/>
      <c r="AK177" s="11"/>
      <c r="AL177" s="52"/>
      <c r="AM177" s="53"/>
      <c r="AN177" s="53">
        <f t="shared" si="11"/>
        <v>9</v>
      </c>
      <c r="AO177" s="77">
        <f t="shared" si="12"/>
        <v>-10</v>
      </c>
      <c r="AP177" s="54">
        <f t="shared" si="10"/>
        <v>0</v>
      </c>
      <c r="AQ177" s="77">
        <f t="shared" si="13"/>
        <v>-10</v>
      </c>
      <c r="AR177" s="54">
        <f t="shared" si="14"/>
        <v>0.01</v>
      </c>
      <c r="AS177" s="15"/>
      <c r="AT177" s="15"/>
      <c r="AU177" s="16"/>
      <c r="AV177" s="17"/>
      <c r="AW177" s="16"/>
      <c r="AX177" s="15"/>
      <c r="AY177" s="19"/>
      <c r="AZ177" s="15"/>
      <c r="BA177" s="18"/>
      <c r="BB177" s="17"/>
      <c r="BC177" s="17"/>
      <c r="BD177" s="17"/>
      <c r="BE177" s="6"/>
    </row>
    <row r="178" spans="1:57" x14ac:dyDescent="0.25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00"/>
      <c r="AB178" s="100"/>
      <c r="AC178" s="11"/>
      <c r="AD178" s="11"/>
      <c r="AE178" s="11"/>
      <c r="AF178" s="11"/>
      <c r="AG178" s="11"/>
      <c r="AH178" s="11"/>
      <c r="AI178" s="11"/>
      <c r="AJ178" s="11"/>
      <c r="AK178" s="11"/>
      <c r="AL178" s="57"/>
      <c r="AM178" s="80"/>
      <c r="AN178" s="80">
        <f t="shared" si="11"/>
        <v>9</v>
      </c>
      <c r="AO178" s="81">
        <f t="shared" si="12"/>
        <v>-10</v>
      </c>
      <c r="AP178" s="82">
        <f t="shared" si="10"/>
        <v>0</v>
      </c>
      <c r="AQ178" s="81">
        <f t="shared" si="13"/>
        <v>-10</v>
      </c>
      <c r="AR178" s="82">
        <f t="shared" si="14"/>
        <v>0.01</v>
      </c>
      <c r="AS178" s="15"/>
      <c r="AT178" s="15"/>
      <c r="AU178" s="16"/>
      <c r="AV178" s="17"/>
      <c r="AW178" s="16"/>
      <c r="AX178" s="15"/>
      <c r="AY178" s="19"/>
      <c r="AZ178" s="15"/>
      <c r="BA178" s="18"/>
      <c r="BB178" s="17"/>
      <c r="BC178" s="17"/>
      <c r="BD178" s="17"/>
      <c r="BE178" s="6"/>
    </row>
    <row r="179" spans="1:57" x14ac:dyDescent="0.25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00"/>
      <c r="AB179" s="100"/>
      <c r="AC179" s="11"/>
      <c r="AD179" s="11"/>
      <c r="AE179" s="11"/>
      <c r="AF179" s="11"/>
      <c r="AG179" s="11"/>
      <c r="AH179" s="11"/>
      <c r="AI179" s="11"/>
      <c r="AJ179" s="11"/>
      <c r="AK179" s="11"/>
      <c r="AL179" s="52"/>
      <c r="AM179" s="53"/>
      <c r="AN179" s="53">
        <f t="shared" si="11"/>
        <v>9</v>
      </c>
      <c r="AO179" s="77">
        <f t="shared" si="12"/>
        <v>-10</v>
      </c>
      <c r="AP179" s="54">
        <f t="shared" si="10"/>
        <v>0</v>
      </c>
      <c r="AQ179" s="77">
        <f t="shared" si="13"/>
        <v>-10</v>
      </c>
      <c r="AR179" s="54">
        <f t="shared" si="14"/>
        <v>0.01</v>
      </c>
      <c r="AS179" s="15"/>
      <c r="AT179" s="15"/>
      <c r="AU179" s="16"/>
      <c r="AV179" s="17"/>
      <c r="AW179" s="16"/>
      <c r="AX179" s="15"/>
      <c r="AY179" s="19"/>
      <c r="AZ179" s="15"/>
      <c r="BA179" s="18"/>
      <c r="BB179" s="17"/>
      <c r="BC179" s="17"/>
      <c r="BD179" s="17"/>
      <c r="BE179" s="6"/>
    </row>
    <row r="180" spans="1:57" x14ac:dyDescent="0.25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00"/>
      <c r="AB180" s="100"/>
      <c r="AC180" s="11"/>
      <c r="AD180" s="11"/>
      <c r="AE180" s="11"/>
      <c r="AF180" s="11"/>
      <c r="AG180" s="11"/>
      <c r="AH180" s="11"/>
      <c r="AI180" s="11"/>
      <c r="AJ180" s="11"/>
      <c r="AK180" s="11"/>
      <c r="AL180" s="57"/>
      <c r="AM180" s="80"/>
      <c r="AN180" s="80">
        <f t="shared" si="11"/>
        <v>9</v>
      </c>
      <c r="AO180" s="81">
        <f t="shared" si="12"/>
        <v>-10</v>
      </c>
      <c r="AP180" s="82">
        <f t="shared" si="10"/>
        <v>0</v>
      </c>
      <c r="AQ180" s="81">
        <f t="shared" si="13"/>
        <v>-10</v>
      </c>
      <c r="AR180" s="82">
        <f t="shared" si="14"/>
        <v>0.01</v>
      </c>
      <c r="AS180" s="15"/>
      <c r="AT180" s="15"/>
      <c r="AU180" s="16"/>
      <c r="AV180" s="17"/>
      <c r="AW180" s="16"/>
      <c r="AX180" s="15"/>
      <c r="AY180" s="19"/>
      <c r="AZ180" s="15"/>
      <c r="BA180" s="18"/>
      <c r="BB180" s="17"/>
      <c r="BC180" s="17"/>
      <c r="BD180" s="17"/>
      <c r="BE180" s="6"/>
    </row>
    <row r="181" spans="1:57" x14ac:dyDescent="0.25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00"/>
      <c r="AB181" s="100"/>
      <c r="AC181" s="11"/>
      <c r="AD181" s="11"/>
      <c r="AE181" s="11"/>
      <c r="AF181" s="11"/>
      <c r="AG181" s="11"/>
      <c r="AH181" s="11"/>
      <c r="AI181" s="11"/>
      <c r="AJ181" s="11"/>
      <c r="AK181" s="11"/>
      <c r="AL181" s="52"/>
      <c r="AM181" s="53"/>
      <c r="AN181" s="53">
        <f t="shared" si="11"/>
        <v>9</v>
      </c>
      <c r="AO181" s="77">
        <f t="shared" si="12"/>
        <v>-10</v>
      </c>
      <c r="AP181" s="54">
        <f t="shared" si="10"/>
        <v>0</v>
      </c>
      <c r="AQ181" s="77">
        <f t="shared" si="13"/>
        <v>-10</v>
      </c>
      <c r="AR181" s="54">
        <f t="shared" si="14"/>
        <v>0.01</v>
      </c>
      <c r="AS181" s="15"/>
      <c r="AT181" s="15"/>
      <c r="AU181" s="16"/>
      <c r="AV181" s="17"/>
      <c r="AW181" s="16"/>
      <c r="AX181" s="15"/>
      <c r="AY181" s="19"/>
      <c r="AZ181" s="15"/>
      <c r="BA181" s="18"/>
      <c r="BB181" s="17"/>
      <c r="BC181" s="17"/>
      <c r="BD181" s="17"/>
      <c r="BE181" s="6"/>
    </row>
    <row r="182" spans="1:57" x14ac:dyDescent="0.25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00"/>
      <c r="AB182" s="100"/>
      <c r="AC182" s="11"/>
      <c r="AD182" s="11"/>
      <c r="AE182" s="11"/>
      <c r="AF182" s="11"/>
      <c r="AG182" s="11"/>
      <c r="AH182" s="11"/>
      <c r="AI182" s="11"/>
      <c r="AJ182" s="11"/>
      <c r="AK182" s="11"/>
      <c r="AL182" s="57"/>
      <c r="AM182" s="80"/>
      <c r="AN182" s="80">
        <f t="shared" si="11"/>
        <v>9</v>
      </c>
      <c r="AO182" s="81">
        <f t="shared" si="12"/>
        <v>-10</v>
      </c>
      <c r="AP182" s="82">
        <f t="shared" si="10"/>
        <v>0</v>
      </c>
      <c r="AQ182" s="81">
        <f t="shared" si="13"/>
        <v>-10</v>
      </c>
      <c r="AR182" s="82">
        <f t="shared" si="14"/>
        <v>0.01</v>
      </c>
      <c r="AS182" s="15"/>
      <c r="AT182" s="15"/>
      <c r="AU182" s="16"/>
      <c r="AV182" s="17"/>
      <c r="AW182" s="16"/>
      <c r="AX182" s="15"/>
      <c r="AY182" s="19"/>
      <c r="AZ182" s="15"/>
      <c r="BA182" s="18"/>
      <c r="BB182" s="17"/>
      <c r="BC182" s="17"/>
      <c r="BD182" s="17"/>
      <c r="BE182" s="6"/>
    </row>
    <row r="183" spans="1:57" x14ac:dyDescent="0.25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00"/>
      <c r="AB183" s="100"/>
      <c r="AC183" s="11"/>
      <c r="AD183" s="11"/>
      <c r="AE183" s="11"/>
      <c r="AF183" s="11"/>
      <c r="AG183" s="11"/>
      <c r="AH183" s="11"/>
      <c r="AI183" s="11"/>
      <c r="AJ183" s="11"/>
      <c r="AK183" s="11"/>
      <c r="AL183" s="52"/>
      <c r="AM183" s="53"/>
      <c r="AN183" s="53">
        <f t="shared" si="11"/>
        <v>9</v>
      </c>
      <c r="AO183" s="77">
        <f t="shared" si="12"/>
        <v>-10</v>
      </c>
      <c r="AP183" s="54">
        <f t="shared" si="10"/>
        <v>0</v>
      </c>
      <c r="AQ183" s="77">
        <f t="shared" si="13"/>
        <v>-10</v>
      </c>
      <c r="AR183" s="54">
        <f t="shared" si="14"/>
        <v>0.01</v>
      </c>
      <c r="AS183" s="15"/>
      <c r="AT183" s="15"/>
      <c r="AU183" s="16"/>
      <c r="AV183" s="17"/>
      <c r="AW183" s="16"/>
      <c r="AX183" s="15"/>
      <c r="AY183" s="19"/>
      <c r="AZ183" s="15"/>
      <c r="BA183" s="18"/>
      <c r="BB183" s="17"/>
      <c r="BC183" s="17"/>
      <c r="BD183" s="17"/>
      <c r="BE183" s="6"/>
    </row>
    <row r="184" spans="1:57" x14ac:dyDescent="0.25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00"/>
      <c r="AB184" s="100"/>
      <c r="AC184" s="11"/>
      <c r="AD184" s="11"/>
      <c r="AE184" s="11"/>
      <c r="AF184" s="11"/>
      <c r="AG184" s="11"/>
      <c r="AH184" s="11"/>
      <c r="AI184" s="11"/>
      <c r="AJ184" s="11"/>
      <c r="AK184" s="11"/>
      <c r="AL184" s="57"/>
      <c r="AM184" s="80"/>
      <c r="AN184" s="80">
        <f t="shared" si="11"/>
        <v>9</v>
      </c>
      <c r="AO184" s="81">
        <f t="shared" si="12"/>
        <v>-10</v>
      </c>
      <c r="AP184" s="82">
        <f t="shared" si="10"/>
        <v>0</v>
      </c>
      <c r="AQ184" s="81">
        <f t="shared" si="13"/>
        <v>-10</v>
      </c>
      <c r="AR184" s="82">
        <f t="shared" si="14"/>
        <v>0.01</v>
      </c>
      <c r="AS184" s="15"/>
      <c r="AT184" s="15"/>
      <c r="AU184" s="16"/>
      <c r="AV184" s="17"/>
      <c r="AW184" s="16"/>
      <c r="AX184" s="15"/>
      <c r="AY184" s="19"/>
      <c r="AZ184" s="15"/>
      <c r="BA184" s="18"/>
      <c r="BB184" s="17"/>
      <c r="BC184" s="17"/>
      <c r="BD184" s="17"/>
      <c r="BE184" s="6"/>
    </row>
    <row r="185" spans="1:57" x14ac:dyDescent="0.25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00"/>
      <c r="AB185" s="100"/>
      <c r="AC185" s="11"/>
      <c r="AD185" s="11"/>
      <c r="AE185" s="11"/>
      <c r="AF185" s="11"/>
      <c r="AG185" s="11"/>
      <c r="AH185" s="11"/>
      <c r="AI185" s="11"/>
      <c r="AJ185" s="11"/>
      <c r="AK185" s="11"/>
      <c r="AL185" s="52"/>
      <c r="AM185" s="53"/>
      <c r="AN185" s="53">
        <f t="shared" si="11"/>
        <v>9</v>
      </c>
      <c r="AO185" s="77">
        <f t="shared" si="12"/>
        <v>-10</v>
      </c>
      <c r="AP185" s="54">
        <f t="shared" si="10"/>
        <v>0</v>
      </c>
      <c r="AQ185" s="77">
        <f t="shared" si="13"/>
        <v>-10</v>
      </c>
      <c r="AR185" s="54">
        <f t="shared" si="14"/>
        <v>0.01</v>
      </c>
      <c r="AS185" s="15"/>
      <c r="AT185" s="15"/>
      <c r="AU185" s="16"/>
      <c r="AV185" s="17"/>
      <c r="AW185" s="16"/>
      <c r="AX185" s="15"/>
      <c r="AY185" s="19"/>
      <c r="AZ185" s="15"/>
      <c r="BA185" s="18"/>
      <c r="BB185" s="17"/>
      <c r="BC185" s="17"/>
      <c r="BD185" s="17"/>
      <c r="BE185" s="6"/>
    </row>
    <row r="186" spans="1:57" x14ac:dyDescent="0.25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00"/>
      <c r="AB186" s="100"/>
      <c r="AC186" s="11"/>
      <c r="AD186" s="11"/>
      <c r="AE186" s="11"/>
      <c r="AF186" s="11"/>
      <c r="AG186" s="11"/>
      <c r="AH186" s="11"/>
      <c r="AI186" s="11"/>
      <c r="AJ186" s="11"/>
      <c r="AK186" s="11"/>
      <c r="AL186" s="57"/>
      <c r="AM186" s="80"/>
      <c r="AN186" s="80">
        <f t="shared" si="11"/>
        <v>9</v>
      </c>
      <c r="AO186" s="81">
        <f t="shared" si="12"/>
        <v>-10</v>
      </c>
      <c r="AP186" s="82">
        <f t="shared" si="10"/>
        <v>0</v>
      </c>
      <c r="AQ186" s="81">
        <f t="shared" si="13"/>
        <v>-10</v>
      </c>
      <c r="AR186" s="82">
        <f t="shared" si="14"/>
        <v>0.01</v>
      </c>
      <c r="AS186" s="15"/>
      <c r="AT186" s="15"/>
      <c r="AU186" s="16"/>
      <c r="AV186" s="17"/>
      <c r="AW186" s="16"/>
      <c r="AX186" s="15"/>
      <c r="AY186" s="19"/>
      <c r="AZ186" s="15"/>
      <c r="BA186" s="18"/>
      <c r="BB186" s="17"/>
      <c r="BC186" s="17"/>
      <c r="BD186" s="17"/>
      <c r="BE186" s="6"/>
    </row>
    <row r="187" spans="1:57" x14ac:dyDescent="0.25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00"/>
      <c r="AB187" s="100"/>
      <c r="AC187" s="11"/>
      <c r="AD187" s="11"/>
      <c r="AE187" s="11"/>
      <c r="AF187" s="11"/>
      <c r="AG187" s="11"/>
      <c r="AH187" s="11"/>
      <c r="AI187" s="11"/>
      <c r="AJ187" s="11"/>
      <c r="AK187" s="11"/>
      <c r="AL187" s="52"/>
      <c r="AM187" s="53"/>
      <c r="AN187" s="53">
        <f t="shared" si="11"/>
        <v>9</v>
      </c>
      <c r="AO187" s="77">
        <f t="shared" si="12"/>
        <v>-10</v>
      </c>
      <c r="AP187" s="54">
        <f t="shared" si="10"/>
        <v>0</v>
      </c>
      <c r="AQ187" s="77">
        <f t="shared" si="13"/>
        <v>-10</v>
      </c>
      <c r="AR187" s="54">
        <f t="shared" si="14"/>
        <v>0.01</v>
      </c>
      <c r="AS187" s="15"/>
      <c r="AT187" s="15"/>
      <c r="AU187" s="16"/>
      <c r="AV187" s="17"/>
      <c r="AW187" s="16"/>
      <c r="AX187" s="15"/>
      <c r="AY187" s="19"/>
      <c r="AZ187" s="15"/>
      <c r="BA187" s="18"/>
      <c r="BB187" s="17"/>
      <c r="BC187" s="17"/>
      <c r="BD187" s="17"/>
      <c r="BE187" s="6"/>
    </row>
    <row r="188" spans="1:57" x14ac:dyDescent="0.25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00"/>
      <c r="AB188" s="100"/>
      <c r="AC188" s="11"/>
      <c r="AD188" s="11"/>
      <c r="AE188" s="11"/>
      <c r="AF188" s="11"/>
      <c r="AG188" s="11"/>
      <c r="AH188" s="11"/>
      <c r="AI188" s="11"/>
      <c r="AJ188" s="11"/>
      <c r="AK188" s="11"/>
      <c r="AL188" s="57"/>
      <c r="AM188" s="80"/>
      <c r="AN188" s="80">
        <f t="shared" si="11"/>
        <v>9</v>
      </c>
      <c r="AO188" s="81">
        <f t="shared" si="12"/>
        <v>-10</v>
      </c>
      <c r="AP188" s="82">
        <f t="shared" si="10"/>
        <v>0</v>
      </c>
      <c r="AQ188" s="81">
        <f t="shared" si="13"/>
        <v>-10</v>
      </c>
      <c r="AR188" s="82">
        <f t="shared" si="14"/>
        <v>0.01</v>
      </c>
      <c r="AS188" s="15"/>
      <c r="AT188" s="15"/>
      <c r="AU188" s="16"/>
      <c r="AV188" s="17"/>
      <c r="AW188" s="16"/>
      <c r="AX188" s="15"/>
      <c r="AY188" s="19"/>
      <c r="AZ188" s="15"/>
      <c r="BA188" s="18"/>
      <c r="BB188" s="17"/>
      <c r="BC188" s="17"/>
      <c r="BD188" s="17"/>
      <c r="BE188" s="6"/>
    </row>
    <row r="189" spans="1:57" x14ac:dyDescent="0.25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00"/>
      <c r="AB189" s="100"/>
      <c r="AC189" s="11"/>
      <c r="AD189" s="11"/>
      <c r="AE189" s="11"/>
      <c r="AF189" s="11"/>
      <c r="AG189" s="11"/>
      <c r="AH189" s="11"/>
      <c r="AI189" s="11"/>
      <c r="AJ189" s="11"/>
      <c r="AK189" s="11"/>
      <c r="AL189" s="52"/>
      <c r="AM189" s="53"/>
      <c r="AN189" s="53">
        <f t="shared" si="11"/>
        <v>9</v>
      </c>
      <c r="AO189" s="77">
        <f t="shared" si="12"/>
        <v>-10</v>
      </c>
      <c r="AP189" s="54">
        <f t="shared" si="10"/>
        <v>0</v>
      </c>
      <c r="AQ189" s="77">
        <f t="shared" si="13"/>
        <v>-10</v>
      </c>
      <c r="AR189" s="54">
        <f t="shared" si="14"/>
        <v>0.01</v>
      </c>
      <c r="AS189" s="15"/>
      <c r="AT189" s="15"/>
      <c r="AU189" s="16"/>
      <c r="AV189" s="17"/>
      <c r="AW189" s="16"/>
      <c r="AX189" s="15"/>
      <c r="AY189" s="19"/>
      <c r="AZ189" s="15"/>
      <c r="BA189" s="18"/>
      <c r="BB189" s="17"/>
      <c r="BC189" s="17"/>
      <c r="BD189" s="17"/>
      <c r="BE189" s="6"/>
    </row>
    <row r="190" spans="1:57" x14ac:dyDescent="0.25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00"/>
      <c r="AB190" s="100"/>
      <c r="AC190" s="11"/>
      <c r="AD190" s="11"/>
      <c r="AE190" s="11"/>
      <c r="AF190" s="11"/>
      <c r="AG190" s="11"/>
      <c r="AH190" s="11"/>
      <c r="AI190" s="11"/>
      <c r="AJ190" s="11"/>
      <c r="AK190" s="11"/>
      <c r="AL190" s="57"/>
      <c r="AM190" s="80"/>
      <c r="AN190" s="80">
        <f t="shared" si="11"/>
        <v>9</v>
      </c>
      <c r="AO190" s="81">
        <f t="shared" si="12"/>
        <v>-10</v>
      </c>
      <c r="AP190" s="82">
        <f t="shared" si="10"/>
        <v>0</v>
      </c>
      <c r="AQ190" s="81">
        <f t="shared" si="13"/>
        <v>-10</v>
      </c>
      <c r="AR190" s="82">
        <f t="shared" si="14"/>
        <v>0.01</v>
      </c>
      <c r="AS190" s="15"/>
      <c r="AT190" s="15"/>
      <c r="AU190" s="16"/>
      <c r="AV190" s="17"/>
      <c r="AW190" s="16"/>
      <c r="AX190" s="15"/>
      <c r="AY190" s="19"/>
      <c r="AZ190" s="15"/>
      <c r="BA190" s="18"/>
      <c r="BB190" s="17"/>
      <c r="BC190" s="17"/>
      <c r="BD190" s="17"/>
      <c r="BE190" s="6"/>
    </row>
    <row r="191" spans="1:57" x14ac:dyDescent="0.25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00"/>
      <c r="AB191" s="100"/>
      <c r="AC191" s="11"/>
      <c r="AD191" s="11"/>
      <c r="AE191" s="11"/>
      <c r="AF191" s="11"/>
      <c r="AG191" s="11"/>
      <c r="AH191" s="11"/>
      <c r="AI191" s="11"/>
      <c r="AJ191" s="11"/>
      <c r="AK191" s="11"/>
      <c r="AL191" s="52"/>
      <c r="AM191" s="53"/>
      <c r="AN191" s="53">
        <f t="shared" si="11"/>
        <v>9</v>
      </c>
      <c r="AO191" s="77">
        <f t="shared" si="12"/>
        <v>-10</v>
      </c>
      <c r="AP191" s="54">
        <f t="shared" si="10"/>
        <v>0</v>
      </c>
      <c r="AQ191" s="77">
        <f t="shared" si="13"/>
        <v>-10</v>
      </c>
      <c r="AR191" s="54">
        <f t="shared" si="14"/>
        <v>0.01</v>
      </c>
      <c r="AS191" s="15"/>
      <c r="AT191" s="15"/>
      <c r="AU191" s="16"/>
      <c r="AV191" s="17"/>
      <c r="AW191" s="16"/>
      <c r="AX191" s="15"/>
      <c r="AY191" s="19"/>
      <c r="AZ191" s="15"/>
      <c r="BA191" s="18"/>
      <c r="BB191" s="17"/>
      <c r="BC191" s="17"/>
      <c r="BD191" s="17"/>
      <c r="BE191" s="6"/>
    </row>
    <row r="192" spans="1:57" x14ac:dyDescent="0.25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00"/>
      <c r="AB192" s="100"/>
      <c r="AC192" s="11"/>
      <c r="AD192" s="11"/>
      <c r="AE192" s="11"/>
      <c r="AF192" s="11"/>
      <c r="AG192" s="11"/>
      <c r="AH192" s="11"/>
      <c r="AI192" s="11"/>
      <c r="AJ192" s="11"/>
      <c r="AK192" s="11"/>
      <c r="AL192" s="57"/>
      <c r="AM192" s="80"/>
      <c r="AN192" s="80">
        <f t="shared" si="11"/>
        <v>9</v>
      </c>
      <c r="AO192" s="81">
        <f t="shared" si="12"/>
        <v>-10</v>
      </c>
      <c r="AP192" s="82">
        <f t="shared" si="10"/>
        <v>0</v>
      </c>
      <c r="AQ192" s="81">
        <f t="shared" si="13"/>
        <v>-10</v>
      </c>
      <c r="AR192" s="82">
        <f t="shared" si="14"/>
        <v>0.01</v>
      </c>
      <c r="AS192" s="15"/>
      <c r="AT192" s="15"/>
      <c r="AU192" s="16"/>
      <c r="AV192" s="17"/>
      <c r="AW192" s="16"/>
      <c r="AX192" s="15"/>
      <c r="AY192" s="19"/>
      <c r="AZ192" s="15"/>
      <c r="BA192" s="18"/>
      <c r="BB192" s="17"/>
      <c r="BC192" s="17"/>
      <c r="BD192" s="17"/>
      <c r="BE192" s="6"/>
    </row>
    <row r="193" spans="1:57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00"/>
      <c r="AB193" s="100"/>
      <c r="AC193" s="11"/>
      <c r="AD193" s="11"/>
      <c r="AE193" s="11"/>
      <c r="AF193" s="11"/>
      <c r="AG193" s="11"/>
      <c r="AH193" s="11"/>
      <c r="AI193" s="11"/>
      <c r="AJ193" s="11"/>
      <c r="AK193" s="11"/>
      <c r="AL193" s="52"/>
      <c r="AM193" s="53"/>
      <c r="AN193" s="53">
        <f t="shared" si="11"/>
        <v>9</v>
      </c>
      <c r="AO193" s="77">
        <f t="shared" si="12"/>
        <v>-10</v>
      </c>
      <c r="AP193" s="54">
        <f t="shared" si="10"/>
        <v>0</v>
      </c>
      <c r="AQ193" s="77">
        <f t="shared" si="13"/>
        <v>-10</v>
      </c>
      <c r="AR193" s="54">
        <f t="shared" si="14"/>
        <v>0.01</v>
      </c>
      <c r="AS193" s="15"/>
      <c r="AT193" s="15"/>
      <c r="AU193" s="16"/>
      <c r="AV193" s="17"/>
      <c r="AW193" s="16"/>
      <c r="AX193" s="15"/>
      <c r="AY193" s="19"/>
      <c r="AZ193" s="15"/>
      <c r="BA193" s="18"/>
      <c r="BB193" s="17"/>
      <c r="BC193" s="17"/>
      <c r="BD193" s="17"/>
      <c r="BE193" s="6"/>
    </row>
    <row r="194" spans="1:57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00"/>
      <c r="AB194" s="100"/>
      <c r="AC194" s="11"/>
      <c r="AD194" s="11"/>
      <c r="AE194" s="11"/>
      <c r="AF194" s="11"/>
      <c r="AG194" s="11"/>
      <c r="AH194" s="11"/>
      <c r="AI194" s="11"/>
      <c r="AJ194" s="11"/>
      <c r="AK194" s="11"/>
      <c r="AL194" s="57"/>
      <c r="AM194" s="80"/>
      <c r="AN194" s="80">
        <f t="shared" si="11"/>
        <v>9</v>
      </c>
      <c r="AO194" s="81">
        <f t="shared" si="12"/>
        <v>-10</v>
      </c>
      <c r="AP194" s="82">
        <f t="shared" ref="AP194:AP201" si="15">AR194*(1-(AO194/AQ194))^2</f>
        <v>0</v>
      </c>
      <c r="AQ194" s="81">
        <f t="shared" si="13"/>
        <v>-10</v>
      </c>
      <c r="AR194" s="82">
        <f t="shared" si="14"/>
        <v>0.01</v>
      </c>
      <c r="AS194" s="15"/>
      <c r="AT194" s="15"/>
      <c r="AU194" s="16"/>
      <c r="AV194" s="17"/>
      <c r="AW194" s="16"/>
      <c r="AX194" s="15"/>
      <c r="AY194" s="19"/>
      <c r="AZ194" s="15"/>
      <c r="BA194" s="18"/>
      <c r="BB194" s="17"/>
      <c r="BC194" s="17"/>
      <c r="BD194" s="17"/>
      <c r="BE194" s="6"/>
    </row>
    <row r="195" spans="1:57" x14ac:dyDescent="0.25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00"/>
      <c r="AB195" s="100"/>
      <c r="AC195" s="11"/>
      <c r="AD195" s="11"/>
      <c r="AE195" s="11"/>
      <c r="AF195" s="11"/>
      <c r="AG195" s="11"/>
      <c r="AH195" s="11"/>
      <c r="AI195" s="11"/>
      <c r="AJ195" s="11"/>
      <c r="AK195" s="11"/>
      <c r="AL195" s="52"/>
      <c r="AM195" s="53"/>
      <c r="AN195" s="53">
        <f t="shared" ref="AN195:AN258" si="16">AN194</f>
        <v>9</v>
      </c>
      <c r="AO195" s="77">
        <f t="shared" ref="AO195:AO201" si="17">IF(AO194+(AQ194/AN195)&lt;AQ194,AQ194,AO194+(AQ194/AN195))</f>
        <v>-10</v>
      </c>
      <c r="AP195" s="54">
        <f t="shared" si="15"/>
        <v>0</v>
      </c>
      <c r="AQ195" s="77">
        <f t="shared" ref="AQ195:AQ201" si="18">AQ194</f>
        <v>-10</v>
      </c>
      <c r="AR195" s="54">
        <f t="shared" ref="AR195:AR201" si="19">AR194</f>
        <v>0.01</v>
      </c>
      <c r="AS195" s="15"/>
      <c r="AT195" s="15"/>
      <c r="AU195" s="16"/>
      <c r="AV195" s="17"/>
      <c r="AW195" s="16"/>
      <c r="AX195" s="15"/>
      <c r="AY195" s="19"/>
      <c r="AZ195" s="15"/>
      <c r="BA195" s="18"/>
      <c r="BB195" s="17"/>
      <c r="BC195" s="17"/>
      <c r="BD195" s="17"/>
      <c r="BE195" s="6"/>
    </row>
    <row r="196" spans="1:57" x14ac:dyDescent="0.25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00"/>
      <c r="AB196" s="100"/>
      <c r="AC196" s="11"/>
      <c r="AD196" s="11"/>
      <c r="AE196" s="11"/>
      <c r="AF196" s="11"/>
      <c r="AG196" s="11"/>
      <c r="AH196" s="11"/>
      <c r="AI196" s="11"/>
      <c r="AJ196" s="11"/>
      <c r="AK196" s="11"/>
      <c r="AL196" s="57"/>
      <c r="AM196" s="80"/>
      <c r="AN196" s="80">
        <f t="shared" si="16"/>
        <v>9</v>
      </c>
      <c r="AO196" s="81">
        <f t="shared" si="17"/>
        <v>-10</v>
      </c>
      <c r="AP196" s="82">
        <f t="shared" si="15"/>
        <v>0</v>
      </c>
      <c r="AQ196" s="81">
        <f t="shared" si="18"/>
        <v>-10</v>
      </c>
      <c r="AR196" s="82">
        <f t="shared" si="19"/>
        <v>0.01</v>
      </c>
      <c r="AS196" s="15"/>
      <c r="AT196" s="15"/>
      <c r="AU196" s="16"/>
      <c r="AV196" s="17"/>
      <c r="AW196" s="16"/>
      <c r="AX196" s="15"/>
      <c r="AY196" s="19"/>
      <c r="AZ196" s="15"/>
      <c r="BA196" s="18"/>
      <c r="BB196" s="17"/>
      <c r="BC196" s="17"/>
      <c r="BD196" s="17"/>
      <c r="BE196" s="6"/>
    </row>
    <row r="197" spans="1:57" x14ac:dyDescent="0.25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00"/>
      <c r="AB197" s="100"/>
      <c r="AC197" s="11"/>
      <c r="AD197" s="11"/>
      <c r="AE197" s="11"/>
      <c r="AF197" s="11"/>
      <c r="AG197" s="11"/>
      <c r="AH197" s="11"/>
      <c r="AI197" s="11"/>
      <c r="AJ197" s="11"/>
      <c r="AK197" s="11"/>
      <c r="AL197" s="52"/>
      <c r="AM197" s="53"/>
      <c r="AN197" s="53">
        <f t="shared" si="16"/>
        <v>9</v>
      </c>
      <c r="AO197" s="77">
        <f t="shared" si="17"/>
        <v>-10</v>
      </c>
      <c r="AP197" s="54">
        <f t="shared" si="15"/>
        <v>0</v>
      </c>
      <c r="AQ197" s="77">
        <f t="shared" si="18"/>
        <v>-10</v>
      </c>
      <c r="AR197" s="54">
        <f t="shared" si="19"/>
        <v>0.01</v>
      </c>
      <c r="AS197" s="15"/>
      <c r="AT197" s="15"/>
      <c r="AU197" s="16"/>
      <c r="AV197" s="17"/>
      <c r="AW197" s="16"/>
      <c r="AX197" s="15"/>
      <c r="AY197" s="19"/>
      <c r="AZ197" s="15"/>
      <c r="BA197" s="18"/>
      <c r="BB197" s="17"/>
      <c r="BC197" s="17"/>
      <c r="BD197" s="17"/>
      <c r="BE197" s="6"/>
    </row>
    <row r="198" spans="1:57" x14ac:dyDescent="0.25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00"/>
      <c r="AB198" s="100"/>
      <c r="AC198" s="11"/>
      <c r="AD198" s="11"/>
      <c r="AE198" s="11"/>
      <c r="AF198" s="11"/>
      <c r="AG198" s="11"/>
      <c r="AH198" s="11"/>
      <c r="AI198" s="11"/>
      <c r="AJ198" s="11"/>
      <c r="AK198" s="11"/>
      <c r="AL198" s="57"/>
      <c r="AM198" s="80"/>
      <c r="AN198" s="80">
        <f t="shared" si="16"/>
        <v>9</v>
      </c>
      <c r="AO198" s="81">
        <f t="shared" si="17"/>
        <v>-10</v>
      </c>
      <c r="AP198" s="82">
        <f t="shared" si="15"/>
        <v>0</v>
      </c>
      <c r="AQ198" s="81">
        <f t="shared" si="18"/>
        <v>-10</v>
      </c>
      <c r="AR198" s="82">
        <f t="shared" si="19"/>
        <v>0.01</v>
      </c>
      <c r="AS198" s="15"/>
      <c r="AT198" s="15"/>
      <c r="AU198" s="16"/>
      <c r="AV198" s="17"/>
      <c r="AW198" s="16"/>
      <c r="AX198" s="15"/>
      <c r="AY198" s="19"/>
      <c r="AZ198" s="15"/>
      <c r="BA198" s="18"/>
      <c r="BB198" s="17"/>
      <c r="BC198" s="17"/>
      <c r="BD198" s="17"/>
      <c r="BE198" s="6"/>
    </row>
    <row r="199" spans="1:57" x14ac:dyDescent="0.25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00"/>
      <c r="AB199" s="100"/>
      <c r="AC199" s="11"/>
      <c r="AD199" s="11"/>
      <c r="AE199" s="11"/>
      <c r="AF199" s="11"/>
      <c r="AG199" s="11"/>
      <c r="AH199" s="11"/>
      <c r="AI199" s="11"/>
      <c r="AJ199" s="11"/>
      <c r="AK199" s="11"/>
      <c r="AL199" s="52"/>
      <c r="AM199" s="53"/>
      <c r="AN199" s="53">
        <f t="shared" si="16"/>
        <v>9</v>
      </c>
      <c r="AO199" s="77">
        <f t="shared" si="17"/>
        <v>-10</v>
      </c>
      <c r="AP199" s="54">
        <f t="shared" si="15"/>
        <v>0</v>
      </c>
      <c r="AQ199" s="77">
        <f t="shared" si="18"/>
        <v>-10</v>
      </c>
      <c r="AR199" s="54">
        <f t="shared" si="19"/>
        <v>0.01</v>
      </c>
      <c r="AS199" s="15"/>
      <c r="AT199" s="15"/>
      <c r="AU199" s="16"/>
      <c r="AV199" s="17"/>
      <c r="AW199" s="16"/>
      <c r="AX199" s="15"/>
      <c r="AY199" s="19"/>
      <c r="AZ199" s="15"/>
      <c r="BA199" s="18"/>
      <c r="BB199" s="17"/>
      <c r="BC199" s="17"/>
      <c r="BD199" s="17"/>
      <c r="BE199" s="6"/>
    </row>
    <row r="200" spans="1:57" x14ac:dyDescent="0.25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00"/>
      <c r="AB200" s="100"/>
      <c r="AC200" s="11"/>
      <c r="AD200" s="11"/>
      <c r="AE200" s="11"/>
      <c r="AF200" s="11"/>
      <c r="AG200" s="11"/>
      <c r="AH200" s="11"/>
      <c r="AI200" s="11"/>
      <c r="AJ200" s="11"/>
      <c r="AK200" s="11"/>
      <c r="AL200" s="57"/>
      <c r="AM200" s="80"/>
      <c r="AN200" s="80">
        <f t="shared" si="16"/>
        <v>9</v>
      </c>
      <c r="AO200" s="81">
        <f t="shared" si="17"/>
        <v>-10</v>
      </c>
      <c r="AP200" s="82">
        <f t="shared" si="15"/>
        <v>0</v>
      </c>
      <c r="AQ200" s="81">
        <f t="shared" si="18"/>
        <v>-10</v>
      </c>
      <c r="AR200" s="82">
        <f t="shared" si="19"/>
        <v>0.01</v>
      </c>
      <c r="AS200" s="15"/>
      <c r="AT200" s="15"/>
      <c r="AU200" s="16"/>
      <c r="AV200" s="17"/>
      <c r="AW200" s="16"/>
      <c r="AX200" s="15"/>
      <c r="AY200" s="19"/>
      <c r="AZ200" s="15"/>
      <c r="BA200" s="18"/>
      <c r="BB200" s="17"/>
      <c r="BC200" s="17"/>
      <c r="BD200" s="17"/>
      <c r="BE200" s="6"/>
    </row>
    <row r="201" spans="1:57" x14ac:dyDescent="0.25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00"/>
      <c r="AB201" s="100"/>
      <c r="AC201" s="11"/>
      <c r="AD201" s="11"/>
      <c r="AE201" s="11"/>
      <c r="AF201" s="11"/>
      <c r="AG201" s="11"/>
      <c r="AH201" s="11"/>
      <c r="AI201" s="11"/>
      <c r="AJ201" s="11"/>
      <c r="AK201" s="11"/>
      <c r="AL201" s="52"/>
      <c r="AM201" s="53"/>
      <c r="AN201" s="53">
        <f t="shared" si="16"/>
        <v>9</v>
      </c>
      <c r="AO201" s="77">
        <f t="shared" si="17"/>
        <v>-10</v>
      </c>
      <c r="AP201" s="54">
        <f t="shared" si="15"/>
        <v>0</v>
      </c>
      <c r="AQ201" s="77">
        <f t="shared" si="18"/>
        <v>-10</v>
      </c>
      <c r="AR201" s="54">
        <f t="shared" si="19"/>
        <v>0.01</v>
      </c>
      <c r="AS201" s="15"/>
      <c r="AT201" s="15"/>
      <c r="AU201" s="16"/>
      <c r="AV201" s="17"/>
      <c r="AW201" s="16"/>
      <c r="AX201" s="15"/>
      <c r="AY201" s="19"/>
      <c r="AZ201" s="15"/>
      <c r="BA201" s="18"/>
      <c r="BB201" s="17"/>
      <c r="BC201" s="17"/>
      <c r="BD201" s="17"/>
      <c r="BE201" s="6"/>
    </row>
    <row r="202" spans="1:57" x14ac:dyDescent="0.25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00"/>
      <c r="AB202" s="100"/>
      <c r="AC202" s="11"/>
      <c r="AD202" s="11"/>
      <c r="AE202" s="11"/>
      <c r="AF202" s="11"/>
      <c r="AG202" s="11"/>
      <c r="AH202" s="11"/>
      <c r="AI202" s="11"/>
      <c r="AJ202" s="11"/>
      <c r="AK202" s="11"/>
      <c r="AL202" s="57"/>
      <c r="AM202" s="80"/>
      <c r="AN202" s="80">
        <f t="shared" si="16"/>
        <v>9</v>
      </c>
      <c r="AO202" s="81">
        <f t="shared" ref="AO202:AO238" si="20">IF(AO201+(AQ201/AN202)&lt;AQ201,AQ201,AO201+(AQ201/AN202))</f>
        <v>-10</v>
      </c>
      <c r="AP202" s="82">
        <f t="shared" ref="AP202:AP265" si="21">AR202*(1-(AO202/AQ202))^2</f>
        <v>0</v>
      </c>
      <c r="AQ202" s="81">
        <f t="shared" ref="AQ202:AQ265" si="22">AQ201</f>
        <v>-10</v>
      </c>
      <c r="AR202" s="82">
        <f t="shared" ref="AR202:AR265" si="23">AR201</f>
        <v>0.01</v>
      </c>
      <c r="AS202" s="15"/>
      <c r="AT202" s="15"/>
      <c r="AU202" s="16"/>
      <c r="AV202" s="17"/>
      <c r="AW202" s="16"/>
      <c r="AX202" s="15"/>
      <c r="AY202" s="19"/>
      <c r="AZ202" s="15"/>
      <c r="BA202" s="18"/>
      <c r="BB202" s="17"/>
      <c r="BC202" s="17"/>
      <c r="BD202" s="17"/>
      <c r="BE202" s="6"/>
    </row>
    <row r="203" spans="1:57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00"/>
      <c r="AB203" s="100"/>
      <c r="AC203" s="11"/>
      <c r="AD203" s="11"/>
      <c r="AE203" s="11"/>
      <c r="AF203" s="11"/>
      <c r="AG203" s="11"/>
      <c r="AH203" s="11"/>
      <c r="AI203" s="11"/>
      <c r="AJ203" s="11"/>
      <c r="AK203" s="11"/>
      <c r="AL203" s="52"/>
      <c r="AM203" s="53"/>
      <c r="AN203" s="53">
        <f t="shared" si="16"/>
        <v>9</v>
      </c>
      <c r="AO203" s="77">
        <f t="shared" si="20"/>
        <v>-10</v>
      </c>
      <c r="AP203" s="54">
        <f t="shared" si="21"/>
        <v>0</v>
      </c>
      <c r="AQ203" s="77">
        <f t="shared" si="22"/>
        <v>-10</v>
      </c>
      <c r="AR203" s="54">
        <f t="shared" si="23"/>
        <v>0.01</v>
      </c>
      <c r="AS203" s="15"/>
      <c r="AT203" s="15"/>
      <c r="AU203" s="16"/>
      <c r="AV203" s="17"/>
      <c r="AW203" s="16"/>
      <c r="AX203" s="15"/>
      <c r="AY203" s="19"/>
      <c r="AZ203" s="15"/>
      <c r="BA203" s="18"/>
      <c r="BB203" s="17"/>
      <c r="BC203" s="17"/>
      <c r="BD203" s="17"/>
      <c r="BE203" s="6"/>
    </row>
    <row r="204" spans="1:57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00"/>
      <c r="AB204" s="100"/>
      <c r="AC204" s="11"/>
      <c r="AD204" s="11"/>
      <c r="AE204" s="11"/>
      <c r="AF204" s="11"/>
      <c r="AG204" s="11"/>
      <c r="AH204" s="11"/>
      <c r="AI204" s="11"/>
      <c r="AJ204" s="11"/>
      <c r="AK204" s="11"/>
      <c r="AL204" s="57"/>
      <c r="AM204" s="80"/>
      <c r="AN204" s="80">
        <f t="shared" si="16"/>
        <v>9</v>
      </c>
      <c r="AO204" s="81">
        <f t="shared" si="20"/>
        <v>-10</v>
      </c>
      <c r="AP204" s="82">
        <f t="shared" si="21"/>
        <v>0</v>
      </c>
      <c r="AQ204" s="81">
        <f t="shared" si="22"/>
        <v>-10</v>
      </c>
      <c r="AR204" s="82">
        <f t="shared" si="23"/>
        <v>0.01</v>
      </c>
      <c r="AS204" s="15"/>
      <c r="AT204" s="15"/>
      <c r="AU204" s="16"/>
      <c r="AV204" s="17"/>
      <c r="AW204" s="16"/>
      <c r="AX204" s="15"/>
      <c r="AY204" s="19"/>
      <c r="AZ204" s="15"/>
      <c r="BA204" s="18"/>
      <c r="BB204" s="17"/>
      <c r="BC204" s="17"/>
      <c r="BD204" s="17"/>
      <c r="BE204" s="6"/>
    </row>
    <row r="205" spans="1:57" x14ac:dyDescent="0.25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00"/>
      <c r="AB205" s="100"/>
      <c r="AC205" s="11"/>
      <c r="AD205" s="11"/>
      <c r="AE205" s="11"/>
      <c r="AF205" s="11"/>
      <c r="AG205" s="11"/>
      <c r="AH205" s="11"/>
      <c r="AI205" s="11"/>
      <c r="AJ205" s="11"/>
      <c r="AK205" s="11"/>
      <c r="AL205" s="52"/>
      <c r="AM205" s="53"/>
      <c r="AN205" s="53">
        <f t="shared" si="16"/>
        <v>9</v>
      </c>
      <c r="AO205" s="77">
        <f t="shared" si="20"/>
        <v>-10</v>
      </c>
      <c r="AP205" s="54">
        <f t="shared" si="21"/>
        <v>0</v>
      </c>
      <c r="AQ205" s="77">
        <f t="shared" si="22"/>
        <v>-10</v>
      </c>
      <c r="AR205" s="54">
        <f t="shared" si="23"/>
        <v>0.01</v>
      </c>
      <c r="AS205" s="15"/>
      <c r="AT205" s="15"/>
      <c r="AU205" s="16"/>
      <c r="AV205" s="17"/>
      <c r="AW205" s="16"/>
      <c r="AX205" s="15"/>
      <c r="AY205" s="19"/>
      <c r="AZ205" s="15"/>
      <c r="BA205" s="18"/>
      <c r="BB205" s="17"/>
      <c r="BC205" s="17"/>
      <c r="BD205" s="17"/>
      <c r="BE205" s="6"/>
    </row>
    <row r="206" spans="1:57" x14ac:dyDescent="0.25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00"/>
      <c r="AB206" s="100"/>
      <c r="AC206" s="11"/>
      <c r="AD206" s="11"/>
      <c r="AE206" s="11"/>
      <c r="AF206" s="11"/>
      <c r="AG206" s="11"/>
      <c r="AH206" s="11"/>
      <c r="AI206" s="11"/>
      <c r="AJ206" s="11"/>
      <c r="AK206" s="11"/>
      <c r="AL206" s="57"/>
      <c r="AM206" s="80"/>
      <c r="AN206" s="80">
        <f t="shared" si="16"/>
        <v>9</v>
      </c>
      <c r="AO206" s="81">
        <f t="shared" si="20"/>
        <v>-10</v>
      </c>
      <c r="AP206" s="82">
        <f t="shared" si="21"/>
        <v>0</v>
      </c>
      <c r="AQ206" s="81">
        <f t="shared" si="22"/>
        <v>-10</v>
      </c>
      <c r="AR206" s="82">
        <f t="shared" si="23"/>
        <v>0.01</v>
      </c>
      <c r="AS206" s="15"/>
      <c r="AT206" s="15"/>
      <c r="AU206" s="16"/>
      <c r="AV206" s="17"/>
      <c r="AW206" s="16"/>
      <c r="AX206" s="15"/>
      <c r="AY206" s="19"/>
      <c r="AZ206" s="15"/>
      <c r="BA206" s="18"/>
      <c r="BB206" s="17"/>
      <c r="BC206" s="17"/>
      <c r="BD206" s="17"/>
      <c r="BE206" s="6"/>
    </row>
    <row r="207" spans="1:57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00"/>
      <c r="AB207" s="100"/>
      <c r="AC207" s="11"/>
      <c r="AD207" s="11"/>
      <c r="AE207" s="11"/>
      <c r="AF207" s="11"/>
      <c r="AG207" s="11"/>
      <c r="AH207" s="11"/>
      <c r="AI207" s="11"/>
      <c r="AJ207" s="11"/>
      <c r="AK207" s="11"/>
      <c r="AL207" s="52"/>
      <c r="AM207" s="53"/>
      <c r="AN207" s="53">
        <f t="shared" si="16"/>
        <v>9</v>
      </c>
      <c r="AO207" s="77">
        <f t="shared" si="20"/>
        <v>-10</v>
      </c>
      <c r="AP207" s="54">
        <f t="shared" si="21"/>
        <v>0</v>
      </c>
      <c r="AQ207" s="77">
        <f t="shared" si="22"/>
        <v>-10</v>
      </c>
      <c r="AR207" s="54">
        <f t="shared" si="23"/>
        <v>0.01</v>
      </c>
      <c r="AS207" s="15"/>
      <c r="AT207" s="15"/>
      <c r="AU207" s="16"/>
      <c r="AV207" s="17"/>
      <c r="AW207" s="16"/>
      <c r="AX207" s="15"/>
      <c r="AY207" s="19"/>
      <c r="AZ207" s="15"/>
      <c r="BA207" s="18"/>
      <c r="BB207" s="17"/>
      <c r="BC207" s="17"/>
      <c r="BD207" s="17"/>
      <c r="BE207" s="6"/>
    </row>
    <row r="208" spans="1:57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00"/>
      <c r="AB208" s="100"/>
      <c r="AC208" s="11"/>
      <c r="AD208" s="11"/>
      <c r="AE208" s="11"/>
      <c r="AF208" s="11"/>
      <c r="AG208" s="11"/>
      <c r="AH208" s="11"/>
      <c r="AI208" s="11"/>
      <c r="AJ208" s="11"/>
      <c r="AK208" s="11"/>
      <c r="AL208" s="57"/>
      <c r="AM208" s="80"/>
      <c r="AN208" s="80">
        <f t="shared" si="16"/>
        <v>9</v>
      </c>
      <c r="AO208" s="81">
        <f t="shared" si="20"/>
        <v>-10</v>
      </c>
      <c r="AP208" s="82">
        <f t="shared" si="21"/>
        <v>0</v>
      </c>
      <c r="AQ208" s="81">
        <f t="shared" si="22"/>
        <v>-10</v>
      </c>
      <c r="AR208" s="82">
        <f t="shared" si="23"/>
        <v>0.01</v>
      </c>
      <c r="AS208" s="15"/>
      <c r="AT208" s="15"/>
      <c r="AU208" s="16"/>
      <c r="AV208" s="17"/>
      <c r="AW208" s="16"/>
      <c r="AX208" s="15"/>
      <c r="AY208" s="19"/>
      <c r="AZ208" s="15"/>
      <c r="BA208" s="18"/>
      <c r="BB208" s="17"/>
      <c r="BC208" s="17"/>
      <c r="BD208" s="17"/>
      <c r="BE208" s="6"/>
    </row>
    <row r="209" spans="1:57" x14ac:dyDescent="0.25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00"/>
      <c r="AB209" s="100"/>
      <c r="AC209" s="11"/>
      <c r="AD209" s="11"/>
      <c r="AE209" s="11"/>
      <c r="AF209" s="11"/>
      <c r="AG209" s="11"/>
      <c r="AH209" s="11"/>
      <c r="AI209" s="11"/>
      <c r="AJ209" s="11"/>
      <c r="AK209" s="11"/>
      <c r="AL209" s="52"/>
      <c r="AM209" s="53"/>
      <c r="AN209" s="53">
        <f t="shared" si="16"/>
        <v>9</v>
      </c>
      <c r="AO209" s="77">
        <f t="shared" si="20"/>
        <v>-10</v>
      </c>
      <c r="AP209" s="54">
        <f t="shared" si="21"/>
        <v>0</v>
      </c>
      <c r="AQ209" s="77">
        <f t="shared" si="22"/>
        <v>-10</v>
      </c>
      <c r="AR209" s="54">
        <f t="shared" si="23"/>
        <v>0.01</v>
      </c>
      <c r="AS209" s="15"/>
      <c r="AT209" s="15"/>
      <c r="AU209" s="16"/>
      <c r="AV209" s="17"/>
      <c r="AW209" s="16"/>
      <c r="AX209" s="15"/>
      <c r="AY209" s="19"/>
      <c r="AZ209" s="15"/>
      <c r="BA209" s="18"/>
      <c r="BB209" s="17"/>
      <c r="BC209" s="17"/>
      <c r="BD209" s="17"/>
      <c r="BE209" s="6"/>
    </row>
    <row r="210" spans="1:57" x14ac:dyDescent="0.25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00"/>
      <c r="AB210" s="100"/>
      <c r="AC210" s="11"/>
      <c r="AD210" s="11"/>
      <c r="AE210" s="11"/>
      <c r="AF210" s="11"/>
      <c r="AG210" s="11"/>
      <c r="AH210" s="11"/>
      <c r="AI210" s="11"/>
      <c r="AJ210" s="11"/>
      <c r="AK210" s="11"/>
      <c r="AL210" s="57"/>
      <c r="AM210" s="80"/>
      <c r="AN210" s="80">
        <f t="shared" si="16"/>
        <v>9</v>
      </c>
      <c r="AO210" s="81">
        <f t="shared" si="20"/>
        <v>-10</v>
      </c>
      <c r="AP210" s="82">
        <f t="shared" si="21"/>
        <v>0</v>
      </c>
      <c r="AQ210" s="81">
        <f t="shared" si="22"/>
        <v>-10</v>
      </c>
      <c r="AR210" s="82">
        <f t="shared" si="23"/>
        <v>0.01</v>
      </c>
      <c r="AS210" s="15"/>
      <c r="AT210" s="15"/>
      <c r="AU210" s="16"/>
      <c r="AV210" s="17"/>
      <c r="AW210" s="16"/>
      <c r="AX210" s="15"/>
      <c r="AY210" s="19"/>
      <c r="AZ210" s="15"/>
      <c r="BA210" s="18"/>
      <c r="BB210" s="17"/>
      <c r="BC210" s="17"/>
      <c r="BD210" s="17"/>
      <c r="BE210" s="6"/>
    </row>
    <row r="211" spans="1:57" x14ac:dyDescent="0.25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00"/>
      <c r="AB211" s="100"/>
      <c r="AC211" s="11"/>
      <c r="AD211" s="11"/>
      <c r="AE211" s="11"/>
      <c r="AF211" s="11"/>
      <c r="AG211" s="11"/>
      <c r="AH211" s="11"/>
      <c r="AI211" s="11"/>
      <c r="AJ211" s="11"/>
      <c r="AK211" s="11"/>
      <c r="AL211" s="52"/>
      <c r="AM211" s="53"/>
      <c r="AN211" s="53">
        <f t="shared" si="16"/>
        <v>9</v>
      </c>
      <c r="AO211" s="77">
        <f t="shared" si="20"/>
        <v>-10</v>
      </c>
      <c r="AP211" s="54">
        <f t="shared" si="21"/>
        <v>0</v>
      </c>
      <c r="AQ211" s="77">
        <f t="shared" si="22"/>
        <v>-10</v>
      </c>
      <c r="AR211" s="54">
        <f t="shared" si="23"/>
        <v>0.01</v>
      </c>
      <c r="AS211" s="15"/>
      <c r="AT211" s="15"/>
      <c r="AU211" s="16"/>
      <c r="AV211" s="17"/>
      <c r="AW211" s="16"/>
      <c r="AX211" s="15"/>
      <c r="AY211" s="19"/>
      <c r="AZ211" s="15"/>
      <c r="BA211" s="18"/>
      <c r="BB211" s="17"/>
      <c r="BC211" s="17"/>
      <c r="BD211" s="17"/>
      <c r="BE211" s="6"/>
    </row>
    <row r="212" spans="1:57" x14ac:dyDescent="0.25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00"/>
      <c r="AB212" s="100"/>
      <c r="AC212" s="11"/>
      <c r="AD212" s="11"/>
      <c r="AE212" s="11"/>
      <c r="AF212" s="11"/>
      <c r="AG212" s="11"/>
      <c r="AH212" s="11"/>
      <c r="AI212" s="11"/>
      <c r="AJ212" s="11"/>
      <c r="AK212" s="11"/>
      <c r="AL212" s="57"/>
      <c r="AM212" s="80"/>
      <c r="AN212" s="80">
        <f t="shared" si="16"/>
        <v>9</v>
      </c>
      <c r="AO212" s="81">
        <f t="shared" si="20"/>
        <v>-10</v>
      </c>
      <c r="AP212" s="82">
        <f t="shared" si="21"/>
        <v>0</v>
      </c>
      <c r="AQ212" s="81">
        <f t="shared" si="22"/>
        <v>-10</v>
      </c>
      <c r="AR212" s="82">
        <f t="shared" si="23"/>
        <v>0.01</v>
      </c>
      <c r="AS212" s="15"/>
      <c r="AT212" s="15"/>
      <c r="AU212" s="16"/>
      <c r="AV212" s="17"/>
      <c r="AW212" s="16"/>
      <c r="AX212" s="15"/>
      <c r="AY212" s="19"/>
      <c r="AZ212" s="15"/>
      <c r="BA212" s="18"/>
      <c r="BB212" s="17"/>
      <c r="BC212" s="17"/>
      <c r="BD212" s="17"/>
      <c r="BE212" s="6"/>
    </row>
    <row r="213" spans="1:57" x14ac:dyDescent="0.25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00"/>
      <c r="AB213" s="100"/>
      <c r="AC213" s="11"/>
      <c r="AD213" s="11"/>
      <c r="AE213" s="11"/>
      <c r="AF213" s="11"/>
      <c r="AG213" s="11"/>
      <c r="AH213" s="11"/>
      <c r="AI213" s="11"/>
      <c r="AJ213" s="11"/>
      <c r="AK213" s="11"/>
      <c r="AL213" s="52"/>
      <c r="AM213" s="53"/>
      <c r="AN213" s="53">
        <f t="shared" si="16"/>
        <v>9</v>
      </c>
      <c r="AO213" s="77">
        <f t="shared" si="20"/>
        <v>-10</v>
      </c>
      <c r="AP213" s="54">
        <f t="shared" si="21"/>
        <v>0</v>
      </c>
      <c r="AQ213" s="77">
        <f t="shared" si="22"/>
        <v>-10</v>
      </c>
      <c r="AR213" s="54">
        <f t="shared" si="23"/>
        <v>0.01</v>
      </c>
      <c r="AS213" s="15"/>
      <c r="AT213" s="15"/>
      <c r="AU213" s="16"/>
      <c r="AV213" s="17"/>
      <c r="AW213" s="16"/>
      <c r="AX213" s="15"/>
      <c r="AY213" s="19"/>
      <c r="AZ213" s="15"/>
      <c r="BA213" s="18"/>
      <c r="BB213" s="17"/>
      <c r="BC213" s="17"/>
      <c r="BD213" s="17"/>
      <c r="BE213" s="6"/>
    </row>
    <row r="214" spans="1:57" x14ac:dyDescent="0.25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00"/>
      <c r="AB214" s="100"/>
      <c r="AC214" s="11"/>
      <c r="AD214" s="11"/>
      <c r="AE214" s="11"/>
      <c r="AF214" s="11"/>
      <c r="AG214" s="11"/>
      <c r="AH214" s="11"/>
      <c r="AI214" s="11"/>
      <c r="AJ214" s="11"/>
      <c r="AK214" s="11"/>
      <c r="AL214" s="57"/>
      <c r="AM214" s="80"/>
      <c r="AN214" s="80">
        <f t="shared" si="16"/>
        <v>9</v>
      </c>
      <c r="AO214" s="81">
        <f t="shared" si="20"/>
        <v>-10</v>
      </c>
      <c r="AP214" s="82">
        <f t="shared" si="21"/>
        <v>0</v>
      </c>
      <c r="AQ214" s="81">
        <f t="shared" si="22"/>
        <v>-10</v>
      </c>
      <c r="AR214" s="82">
        <f t="shared" si="23"/>
        <v>0.01</v>
      </c>
      <c r="AS214" s="15"/>
      <c r="AT214" s="15"/>
      <c r="AU214" s="16"/>
      <c r="AV214" s="17"/>
      <c r="AW214" s="16"/>
      <c r="AX214" s="15"/>
      <c r="AY214" s="19"/>
      <c r="AZ214" s="15"/>
      <c r="BA214" s="18"/>
      <c r="BB214" s="17"/>
      <c r="BC214" s="17"/>
      <c r="BD214" s="17"/>
      <c r="BE214" s="6"/>
    </row>
    <row r="215" spans="1:57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00"/>
      <c r="AB215" s="100"/>
      <c r="AC215" s="11"/>
      <c r="AD215" s="11"/>
      <c r="AE215" s="11"/>
      <c r="AF215" s="11"/>
      <c r="AG215" s="11"/>
      <c r="AH215" s="11"/>
      <c r="AI215" s="11"/>
      <c r="AJ215" s="11"/>
      <c r="AK215" s="11"/>
      <c r="AL215" s="52"/>
      <c r="AM215" s="53"/>
      <c r="AN215" s="53">
        <f t="shared" si="16"/>
        <v>9</v>
      </c>
      <c r="AO215" s="77">
        <f t="shared" si="20"/>
        <v>-10</v>
      </c>
      <c r="AP215" s="54">
        <f t="shared" si="21"/>
        <v>0</v>
      </c>
      <c r="AQ215" s="77">
        <f t="shared" si="22"/>
        <v>-10</v>
      </c>
      <c r="AR215" s="54">
        <f t="shared" si="23"/>
        <v>0.01</v>
      </c>
      <c r="AS215" s="15"/>
      <c r="AT215" s="15"/>
      <c r="AU215" s="16"/>
      <c r="AV215" s="17"/>
      <c r="AW215" s="16"/>
      <c r="AX215" s="15"/>
      <c r="AY215" s="19"/>
      <c r="AZ215" s="15"/>
      <c r="BA215" s="18"/>
      <c r="BB215" s="17"/>
      <c r="BC215" s="17"/>
      <c r="BD215" s="17"/>
      <c r="BE215" s="6"/>
    </row>
    <row r="216" spans="1:57" x14ac:dyDescent="0.25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00"/>
      <c r="AB216" s="100"/>
      <c r="AC216" s="11"/>
      <c r="AD216" s="11"/>
      <c r="AE216" s="11"/>
      <c r="AF216" s="11"/>
      <c r="AG216" s="11"/>
      <c r="AH216" s="11"/>
      <c r="AI216" s="11"/>
      <c r="AJ216" s="11"/>
      <c r="AK216" s="11"/>
      <c r="AL216" s="57"/>
      <c r="AM216" s="80"/>
      <c r="AN216" s="80">
        <f t="shared" si="16"/>
        <v>9</v>
      </c>
      <c r="AO216" s="81">
        <f t="shared" si="20"/>
        <v>-10</v>
      </c>
      <c r="AP216" s="82">
        <f t="shared" si="21"/>
        <v>0</v>
      </c>
      <c r="AQ216" s="81">
        <f t="shared" si="22"/>
        <v>-10</v>
      </c>
      <c r="AR216" s="82">
        <f t="shared" si="23"/>
        <v>0.01</v>
      </c>
      <c r="AS216" s="15"/>
      <c r="AT216" s="15"/>
      <c r="AU216" s="16"/>
      <c r="AV216" s="17"/>
      <c r="AW216" s="16"/>
      <c r="AX216" s="15"/>
      <c r="AY216" s="19"/>
      <c r="AZ216" s="15"/>
      <c r="BA216" s="18"/>
      <c r="BB216" s="17"/>
      <c r="BC216" s="17"/>
      <c r="BD216" s="17"/>
      <c r="BE216" s="6"/>
    </row>
    <row r="217" spans="1:57" x14ac:dyDescent="0.25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00"/>
      <c r="AB217" s="100"/>
      <c r="AC217" s="11"/>
      <c r="AD217" s="11"/>
      <c r="AE217" s="11"/>
      <c r="AF217" s="11"/>
      <c r="AG217" s="11"/>
      <c r="AH217" s="11"/>
      <c r="AI217" s="11"/>
      <c r="AJ217" s="11"/>
      <c r="AK217" s="11"/>
      <c r="AL217" s="52"/>
      <c r="AM217" s="53"/>
      <c r="AN217" s="53">
        <f t="shared" si="16"/>
        <v>9</v>
      </c>
      <c r="AO217" s="77">
        <f t="shared" si="20"/>
        <v>-10</v>
      </c>
      <c r="AP217" s="54">
        <f t="shared" si="21"/>
        <v>0</v>
      </c>
      <c r="AQ217" s="77">
        <f t="shared" si="22"/>
        <v>-10</v>
      </c>
      <c r="AR217" s="54">
        <f t="shared" si="23"/>
        <v>0.01</v>
      </c>
      <c r="AS217" s="15"/>
      <c r="AT217" s="15"/>
      <c r="AU217" s="16"/>
      <c r="AV217" s="17"/>
      <c r="AW217" s="16"/>
      <c r="AX217" s="15"/>
      <c r="AY217" s="19"/>
      <c r="AZ217" s="15"/>
      <c r="BA217" s="18"/>
      <c r="BB217" s="17"/>
      <c r="BC217" s="17"/>
      <c r="BD217" s="17"/>
      <c r="BE217" s="6"/>
    </row>
    <row r="218" spans="1:57" x14ac:dyDescent="0.25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00"/>
      <c r="AB218" s="100"/>
      <c r="AC218" s="11"/>
      <c r="AD218" s="11"/>
      <c r="AE218" s="11"/>
      <c r="AF218" s="11"/>
      <c r="AG218" s="11"/>
      <c r="AH218" s="11"/>
      <c r="AI218" s="11"/>
      <c r="AJ218" s="11"/>
      <c r="AK218" s="11"/>
      <c r="AL218" s="57"/>
      <c r="AM218" s="80"/>
      <c r="AN218" s="80">
        <f t="shared" si="16"/>
        <v>9</v>
      </c>
      <c r="AO218" s="81">
        <f t="shared" si="20"/>
        <v>-10</v>
      </c>
      <c r="AP218" s="82">
        <f t="shared" si="21"/>
        <v>0</v>
      </c>
      <c r="AQ218" s="81">
        <f t="shared" si="22"/>
        <v>-10</v>
      </c>
      <c r="AR218" s="82">
        <f t="shared" si="23"/>
        <v>0.01</v>
      </c>
      <c r="AS218" s="15"/>
      <c r="AT218" s="15"/>
      <c r="AU218" s="16"/>
      <c r="AV218" s="17"/>
      <c r="AW218" s="16"/>
      <c r="AX218" s="15"/>
      <c r="AY218" s="19"/>
      <c r="AZ218" s="15"/>
      <c r="BA218" s="18"/>
      <c r="BB218" s="17"/>
      <c r="BC218" s="17"/>
      <c r="BD218" s="17"/>
      <c r="BE218" s="6"/>
    </row>
    <row r="219" spans="1:57" x14ac:dyDescent="0.25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00"/>
      <c r="AB219" s="100"/>
      <c r="AC219" s="11"/>
      <c r="AD219" s="11"/>
      <c r="AE219" s="11"/>
      <c r="AF219" s="11"/>
      <c r="AG219" s="11"/>
      <c r="AH219" s="11"/>
      <c r="AI219" s="11"/>
      <c r="AJ219" s="11"/>
      <c r="AK219" s="11"/>
      <c r="AL219" s="52"/>
      <c r="AM219" s="53"/>
      <c r="AN219" s="53">
        <f t="shared" si="16"/>
        <v>9</v>
      </c>
      <c r="AO219" s="77">
        <f t="shared" si="20"/>
        <v>-10</v>
      </c>
      <c r="AP219" s="54">
        <f t="shared" si="21"/>
        <v>0</v>
      </c>
      <c r="AQ219" s="77">
        <f t="shared" si="22"/>
        <v>-10</v>
      </c>
      <c r="AR219" s="54">
        <f t="shared" si="23"/>
        <v>0.01</v>
      </c>
      <c r="AS219" s="15"/>
      <c r="AT219" s="15"/>
      <c r="AU219" s="16"/>
      <c r="AV219" s="17"/>
      <c r="AW219" s="16"/>
      <c r="AX219" s="15"/>
      <c r="AY219" s="19"/>
      <c r="AZ219" s="15"/>
      <c r="BA219" s="18"/>
      <c r="BB219" s="17"/>
      <c r="BC219" s="17"/>
      <c r="BD219" s="17"/>
      <c r="BE219" s="6"/>
    </row>
    <row r="220" spans="1:57" x14ac:dyDescent="0.25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00"/>
      <c r="AB220" s="100"/>
      <c r="AC220" s="11"/>
      <c r="AD220" s="11"/>
      <c r="AE220" s="11"/>
      <c r="AF220" s="11"/>
      <c r="AG220" s="11"/>
      <c r="AH220" s="11"/>
      <c r="AI220" s="11"/>
      <c r="AJ220" s="11"/>
      <c r="AK220" s="11"/>
      <c r="AL220" s="57"/>
      <c r="AM220" s="80"/>
      <c r="AN220" s="80">
        <f t="shared" si="16"/>
        <v>9</v>
      </c>
      <c r="AO220" s="81">
        <f t="shared" si="20"/>
        <v>-10</v>
      </c>
      <c r="AP220" s="82">
        <f t="shared" si="21"/>
        <v>0</v>
      </c>
      <c r="AQ220" s="81">
        <f t="shared" si="22"/>
        <v>-10</v>
      </c>
      <c r="AR220" s="82">
        <f t="shared" si="23"/>
        <v>0.01</v>
      </c>
      <c r="AS220" s="15"/>
      <c r="AT220" s="15"/>
      <c r="AU220" s="16"/>
      <c r="AV220" s="17"/>
      <c r="AW220" s="16"/>
      <c r="AX220" s="15"/>
      <c r="AY220" s="19"/>
      <c r="AZ220" s="15"/>
      <c r="BA220" s="18"/>
      <c r="BB220" s="17"/>
      <c r="BC220" s="17"/>
      <c r="BD220" s="17"/>
      <c r="BE220" s="6"/>
    </row>
    <row r="221" spans="1:57" x14ac:dyDescent="0.25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00"/>
      <c r="AB221" s="100"/>
      <c r="AC221" s="11"/>
      <c r="AD221" s="11"/>
      <c r="AE221" s="11"/>
      <c r="AF221" s="11"/>
      <c r="AG221" s="11"/>
      <c r="AH221" s="11"/>
      <c r="AI221" s="11"/>
      <c r="AJ221" s="11"/>
      <c r="AK221" s="11"/>
      <c r="AL221" s="52"/>
      <c r="AM221" s="53"/>
      <c r="AN221" s="53">
        <f t="shared" si="16"/>
        <v>9</v>
      </c>
      <c r="AO221" s="77">
        <f t="shared" si="20"/>
        <v>-10</v>
      </c>
      <c r="AP221" s="54">
        <f t="shared" si="21"/>
        <v>0</v>
      </c>
      <c r="AQ221" s="77">
        <f t="shared" si="22"/>
        <v>-10</v>
      </c>
      <c r="AR221" s="54">
        <f t="shared" si="23"/>
        <v>0.01</v>
      </c>
      <c r="AS221" s="15"/>
      <c r="AT221" s="15"/>
      <c r="AU221" s="16"/>
      <c r="AV221" s="17"/>
      <c r="AW221" s="16"/>
      <c r="AX221" s="15"/>
      <c r="AY221" s="19"/>
      <c r="AZ221" s="15"/>
      <c r="BA221" s="18"/>
      <c r="BB221" s="17"/>
      <c r="BC221" s="17"/>
      <c r="BD221" s="17"/>
      <c r="BE221" s="6"/>
    </row>
    <row r="222" spans="1:57" x14ac:dyDescent="0.25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00"/>
      <c r="AB222" s="100"/>
      <c r="AC222" s="11"/>
      <c r="AD222" s="11"/>
      <c r="AE222" s="11"/>
      <c r="AF222" s="11"/>
      <c r="AG222" s="11"/>
      <c r="AH222" s="11"/>
      <c r="AI222" s="11"/>
      <c r="AJ222" s="11"/>
      <c r="AK222" s="11"/>
      <c r="AL222" s="57"/>
      <c r="AM222" s="80"/>
      <c r="AN222" s="80">
        <f t="shared" si="16"/>
        <v>9</v>
      </c>
      <c r="AO222" s="81">
        <f t="shared" si="20"/>
        <v>-10</v>
      </c>
      <c r="AP222" s="82">
        <f t="shared" si="21"/>
        <v>0</v>
      </c>
      <c r="AQ222" s="81">
        <f t="shared" si="22"/>
        <v>-10</v>
      </c>
      <c r="AR222" s="82">
        <f t="shared" si="23"/>
        <v>0.01</v>
      </c>
      <c r="AS222" s="15"/>
      <c r="AT222" s="15"/>
      <c r="AU222" s="16"/>
      <c r="AV222" s="17"/>
      <c r="AW222" s="16"/>
      <c r="AX222" s="15"/>
      <c r="AY222" s="19"/>
      <c r="AZ222" s="15"/>
      <c r="BA222" s="18"/>
      <c r="BB222" s="17"/>
      <c r="BC222" s="17"/>
      <c r="BD222" s="17"/>
      <c r="BE222" s="6"/>
    </row>
    <row r="223" spans="1:57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00"/>
      <c r="AB223" s="100"/>
      <c r="AC223" s="11"/>
      <c r="AD223" s="11"/>
      <c r="AE223" s="11"/>
      <c r="AF223" s="11"/>
      <c r="AG223" s="11"/>
      <c r="AH223" s="11"/>
      <c r="AI223" s="11"/>
      <c r="AJ223" s="11"/>
      <c r="AK223" s="11"/>
      <c r="AL223" s="52"/>
      <c r="AM223" s="53"/>
      <c r="AN223" s="53">
        <f t="shared" si="16"/>
        <v>9</v>
      </c>
      <c r="AO223" s="77">
        <f t="shared" si="20"/>
        <v>-10</v>
      </c>
      <c r="AP223" s="54">
        <f t="shared" si="21"/>
        <v>0</v>
      </c>
      <c r="AQ223" s="77">
        <f t="shared" si="22"/>
        <v>-10</v>
      </c>
      <c r="AR223" s="54">
        <f t="shared" si="23"/>
        <v>0.01</v>
      </c>
      <c r="AS223" s="15"/>
      <c r="AT223" s="15"/>
      <c r="AU223" s="16"/>
      <c r="AV223" s="17"/>
      <c r="AW223" s="16"/>
      <c r="AX223" s="15"/>
      <c r="AY223" s="19"/>
      <c r="AZ223" s="15"/>
      <c r="BA223" s="18"/>
      <c r="BB223" s="17"/>
      <c r="BC223" s="17"/>
      <c r="BD223" s="17"/>
      <c r="BE223" s="6"/>
    </row>
    <row r="224" spans="1:57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00"/>
      <c r="AB224" s="100"/>
      <c r="AC224" s="11"/>
      <c r="AD224" s="11"/>
      <c r="AE224" s="11"/>
      <c r="AF224" s="11"/>
      <c r="AG224" s="11"/>
      <c r="AH224" s="11"/>
      <c r="AI224" s="11"/>
      <c r="AJ224" s="11"/>
      <c r="AK224" s="11"/>
      <c r="AL224" s="57"/>
      <c r="AM224" s="80"/>
      <c r="AN224" s="80">
        <f t="shared" si="16"/>
        <v>9</v>
      </c>
      <c r="AO224" s="81">
        <f t="shared" si="20"/>
        <v>-10</v>
      </c>
      <c r="AP224" s="82">
        <f t="shared" si="21"/>
        <v>0</v>
      </c>
      <c r="AQ224" s="81">
        <f t="shared" si="22"/>
        <v>-10</v>
      </c>
      <c r="AR224" s="82">
        <f t="shared" si="23"/>
        <v>0.01</v>
      </c>
      <c r="AS224" s="15"/>
      <c r="AT224" s="15"/>
      <c r="AU224" s="16"/>
      <c r="AV224" s="17"/>
      <c r="AW224" s="16"/>
      <c r="AX224" s="15"/>
      <c r="AY224" s="19"/>
      <c r="AZ224" s="15"/>
      <c r="BA224" s="18"/>
      <c r="BB224" s="17"/>
      <c r="BC224" s="17"/>
      <c r="BD224" s="17"/>
      <c r="BE224" s="6"/>
    </row>
    <row r="225" spans="1:57" x14ac:dyDescent="0.25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00"/>
      <c r="AB225" s="100"/>
      <c r="AC225" s="11"/>
      <c r="AD225" s="11"/>
      <c r="AE225" s="11"/>
      <c r="AF225" s="11"/>
      <c r="AG225" s="11"/>
      <c r="AH225" s="11"/>
      <c r="AI225" s="11"/>
      <c r="AJ225" s="11"/>
      <c r="AK225" s="11"/>
      <c r="AL225" s="52"/>
      <c r="AM225" s="53"/>
      <c r="AN225" s="53">
        <f t="shared" si="16"/>
        <v>9</v>
      </c>
      <c r="AO225" s="77">
        <f t="shared" si="20"/>
        <v>-10</v>
      </c>
      <c r="AP225" s="54">
        <f t="shared" si="21"/>
        <v>0</v>
      </c>
      <c r="AQ225" s="77">
        <f t="shared" si="22"/>
        <v>-10</v>
      </c>
      <c r="AR225" s="54">
        <f t="shared" si="23"/>
        <v>0.01</v>
      </c>
      <c r="AS225" s="15"/>
      <c r="AT225" s="15"/>
      <c r="AU225" s="16"/>
      <c r="AV225" s="17"/>
      <c r="AW225" s="16"/>
      <c r="AX225" s="15"/>
      <c r="AY225" s="19"/>
      <c r="AZ225" s="15"/>
      <c r="BA225" s="18"/>
      <c r="BB225" s="17"/>
      <c r="BC225" s="17"/>
      <c r="BD225" s="17"/>
      <c r="BE225" s="6"/>
    </row>
    <row r="226" spans="1:57" x14ac:dyDescent="0.25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00"/>
      <c r="AB226" s="100"/>
      <c r="AC226" s="11"/>
      <c r="AD226" s="11"/>
      <c r="AE226" s="11"/>
      <c r="AF226" s="11"/>
      <c r="AG226" s="11"/>
      <c r="AH226" s="11"/>
      <c r="AI226" s="11"/>
      <c r="AJ226" s="11"/>
      <c r="AK226" s="11"/>
      <c r="AL226" s="57"/>
      <c r="AM226" s="80"/>
      <c r="AN226" s="80">
        <f t="shared" si="16"/>
        <v>9</v>
      </c>
      <c r="AO226" s="81">
        <f t="shared" si="20"/>
        <v>-10</v>
      </c>
      <c r="AP226" s="82">
        <f t="shared" si="21"/>
        <v>0</v>
      </c>
      <c r="AQ226" s="81">
        <f t="shared" si="22"/>
        <v>-10</v>
      </c>
      <c r="AR226" s="82">
        <f t="shared" si="23"/>
        <v>0.01</v>
      </c>
      <c r="AS226" s="15"/>
      <c r="AT226" s="15"/>
      <c r="AU226" s="16"/>
      <c r="AV226" s="17"/>
      <c r="AW226" s="16"/>
      <c r="AX226" s="15"/>
      <c r="AY226" s="19"/>
      <c r="AZ226" s="15"/>
      <c r="BA226" s="18"/>
      <c r="BB226" s="17"/>
      <c r="BC226" s="17"/>
      <c r="BD226" s="17"/>
      <c r="BE226" s="6"/>
    </row>
    <row r="227" spans="1:57" x14ac:dyDescent="0.25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00"/>
      <c r="AB227" s="100"/>
      <c r="AC227" s="11"/>
      <c r="AD227" s="11"/>
      <c r="AE227" s="11"/>
      <c r="AF227" s="11"/>
      <c r="AG227" s="11"/>
      <c r="AH227" s="11"/>
      <c r="AI227" s="11"/>
      <c r="AJ227" s="11"/>
      <c r="AK227" s="11"/>
      <c r="AL227" s="52"/>
      <c r="AM227" s="53"/>
      <c r="AN227" s="53">
        <f t="shared" si="16"/>
        <v>9</v>
      </c>
      <c r="AO227" s="77">
        <f t="shared" si="20"/>
        <v>-10</v>
      </c>
      <c r="AP227" s="54">
        <f t="shared" si="21"/>
        <v>0</v>
      </c>
      <c r="AQ227" s="77">
        <f t="shared" si="22"/>
        <v>-10</v>
      </c>
      <c r="AR227" s="54">
        <f t="shared" si="23"/>
        <v>0.01</v>
      </c>
      <c r="AS227" s="15"/>
      <c r="AT227" s="15"/>
      <c r="AU227" s="16"/>
      <c r="AV227" s="17"/>
      <c r="AW227" s="16"/>
      <c r="AX227" s="15"/>
      <c r="AY227" s="19"/>
      <c r="AZ227" s="15"/>
      <c r="BA227" s="18"/>
      <c r="BB227" s="17"/>
      <c r="BC227" s="17"/>
      <c r="BD227" s="17"/>
      <c r="BE227" s="6"/>
    </row>
    <row r="228" spans="1:57" x14ac:dyDescent="0.25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00"/>
      <c r="AB228" s="100"/>
      <c r="AC228" s="11"/>
      <c r="AD228" s="11"/>
      <c r="AE228" s="11"/>
      <c r="AF228" s="11"/>
      <c r="AG228" s="11"/>
      <c r="AH228" s="11"/>
      <c r="AI228" s="11"/>
      <c r="AJ228" s="11"/>
      <c r="AK228" s="11"/>
      <c r="AL228" s="57"/>
      <c r="AM228" s="80"/>
      <c r="AN228" s="80">
        <f t="shared" si="16"/>
        <v>9</v>
      </c>
      <c r="AO228" s="81">
        <f t="shared" si="20"/>
        <v>-10</v>
      </c>
      <c r="AP228" s="82">
        <f t="shared" si="21"/>
        <v>0</v>
      </c>
      <c r="AQ228" s="81">
        <f t="shared" si="22"/>
        <v>-10</v>
      </c>
      <c r="AR228" s="82">
        <f t="shared" si="23"/>
        <v>0.01</v>
      </c>
      <c r="AS228" s="15"/>
      <c r="AT228" s="15"/>
      <c r="AU228" s="16"/>
      <c r="AV228" s="17"/>
      <c r="AW228" s="16"/>
      <c r="AX228" s="15"/>
      <c r="AY228" s="19"/>
      <c r="AZ228" s="15"/>
      <c r="BA228" s="18"/>
      <c r="BB228" s="17"/>
      <c r="BC228" s="17"/>
      <c r="BD228" s="17"/>
      <c r="BE228" s="6"/>
    </row>
    <row r="229" spans="1:57" x14ac:dyDescent="0.25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00"/>
      <c r="AB229" s="100"/>
      <c r="AC229" s="11"/>
      <c r="AD229" s="11"/>
      <c r="AE229" s="11"/>
      <c r="AF229" s="11"/>
      <c r="AG229" s="11"/>
      <c r="AH229" s="11"/>
      <c r="AI229" s="11"/>
      <c r="AJ229" s="11"/>
      <c r="AK229" s="11"/>
      <c r="AL229" s="52"/>
      <c r="AM229" s="53"/>
      <c r="AN229" s="53">
        <f t="shared" si="16"/>
        <v>9</v>
      </c>
      <c r="AO229" s="77">
        <f t="shared" si="20"/>
        <v>-10</v>
      </c>
      <c r="AP229" s="54">
        <f t="shared" si="21"/>
        <v>0</v>
      </c>
      <c r="AQ229" s="77">
        <f t="shared" si="22"/>
        <v>-10</v>
      </c>
      <c r="AR229" s="54">
        <f t="shared" si="23"/>
        <v>0.01</v>
      </c>
      <c r="AS229" s="15"/>
      <c r="AT229" s="15"/>
      <c r="AU229" s="16"/>
      <c r="AV229" s="17"/>
      <c r="AW229" s="16"/>
      <c r="AX229" s="15"/>
      <c r="AY229" s="19"/>
      <c r="AZ229" s="15"/>
      <c r="BA229" s="18"/>
      <c r="BB229" s="17"/>
      <c r="BC229" s="17"/>
      <c r="BD229" s="17"/>
      <c r="BE229" s="6"/>
    </row>
    <row r="230" spans="1:57" x14ac:dyDescent="0.25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00"/>
      <c r="AB230" s="100"/>
      <c r="AC230" s="11"/>
      <c r="AD230" s="11"/>
      <c r="AE230" s="11"/>
      <c r="AF230" s="11"/>
      <c r="AG230" s="11"/>
      <c r="AH230" s="11"/>
      <c r="AI230" s="11"/>
      <c r="AJ230" s="11"/>
      <c r="AK230" s="11"/>
      <c r="AL230" s="57"/>
      <c r="AM230" s="80"/>
      <c r="AN230" s="80">
        <f t="shared" si="16"/>
        <v>9</v>
      </c>
      <c r="AO230" s="81">
        <f t="shared" si="20"/>
        <v>-10</v>
      </c>
      <c r="AP230" s="82">
        <f t="shared" si="21"/>
        <v>0</v>
      </c>
      <c r="AQ230" s="81">
        <f t="shared" si="22"/>
        <v>-10</v>
      </c>
      <c r="AR230" s="82">
        <f t="shared" si="23"/>
        <v>0.01</v>
      </c>
      <c r="AS230" s="15"/>
      <c r="AT230" s="15"/>
      <c r="AU230" s="16"/>
      <c r="AV230" s="17"/>
      <c r="AW230" s="16"/>
      <c r="AX230" s="15"/>
      <c r="AY230" s="19"/>
      <c r="AZ230" s="15"/>
      <c r="BA230" s="18"/>
      <c r="BB230" s="17"/>
      <c r="BC230" s="17"/>
      <c r="BD230" s="17"/>
      <c r="BE230" s="6"/>
    </row>
    <row r="231" spans="1:57" x14ac:dyDescent="0.25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00"/>
      <c r="AB231" s="100"/>
      <c r="AC231" s="11"/>
      <c r="AD231" s="11"/>
      <c r="AE231" s="11"/>
      <c r="AF231" s="11"/>
      <c r="AG231" s="11"/>
      <c r="AH231" s="11"/>
      <c r="AI231" s="11"/>
      <c r="AJ231" s="11"/>
      <c r="AK231" s="11"/>
      <c r="AL231" s="52"/>
      <c r="AM231" s="53"/>
      <c r="AN231" s="53">
        <f t="shared" si="16"/>
        <v>9</v>
      </c>
      <c r="AO231" s="77">
        <f t="shared" si="20"/>
        <v>-10</v>
      </c>
      <c r="AP231" s="54">
        <f t="shared" si="21"/>
        <v>0</v>
      </c>
      <c r="AQ231" s="77">
        <f t="shared" si="22"/>
        <v>-10</v>
      </c>
      <c r="AR231" s="54">
        <f t="shared" si="23"/>
        <v>0.01</v>
      </c>
      <c r="AS231" s="15"/>
      <c r="AT231" s="15"/>
      <c r="AU231" s="16"/>
      <c r="AV231" s="17"/>
      <c r="AW231" s="16"/>
      <c r="AX231" s="15"/>
      <c r="AY231" s="19"/>
      <c r="AZ231" s="15"/>
      <c r="BA231" s="18"/>
      <c r="BB231" s="17"/>
      <c r="BC231" s="17"/>
      <c r="BD231" s="17"/>
      <c r="BE231" s="6"/>
    </row>
    <row r="232" spans="1:57" x14ac:dyDescent="0.25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00"/>
      <c r="AB232" s="100"/>
      <c r="AC232" s="11"/>
      <c r="AD232" s="11"/>
      <c r="AE232" s="11"/>
      <c r="AF232" s="11"/>
      <c r="AG232" s="11"/>
      <c r="AH232" s="11"/>
      <c r="AI232" s="11"/>
      <c r="AJ232" s="11"/>
      <c r="AK232" s="11"/>
      <c r="AL232" s="57"/>
      <c r="AM232" s="80"/>
      <c r="AN232" s="80">
        <f t="shared" si="16"/>
        <v>9</v>
      </c>
      <c r="AO232" s="81">
        <f t="shared" si="20"/>
        <v>-10</v>
      </c>
      <c r="AP232" s="82">
        <f t="shared" si="21"/>
        <v>0</v>
      </c>
      <c r="AQ232" s="81">
        <f t="shared" si="22"/>
        <v>-10</v>
      </c>
      <c r="AR232" s="82">
        <f t="shared" si="23"/>
        <v>0.01</v>
      </c>
      <c r="AS232" s="15"/>
      <c r="AT232" s="15"/>
      <c r="AU232" s="16"/>
      <c r="AV232" s="17"/>
      <c r="AW232" s="16"/>
      <c r="AX232" s="15"/>
      <c r="AY232" s="19"/>
      <c r="AZ232" s="15"/>
      <c r="BA232" s="18"/>
      <c r="BB232" s="17"/>
      <c r="BC232" s="17"/>
      <c r="BD232" s="17"/>
      <c r="BE232" s="6"/>
    </row>
    <row r="233" spans="1:57" x14ac:dyDescent="0.25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00"/>
      <c r="AB233" s="100"/>
      <c r="AC233" s="11"/>
      <c r="AD233" s="11"/>
      <c r="AE233" s="11"/>
      <c r="AF233" s="11"/>
      <c r="AG233" s="11"/>
      <c r="AH233" s="11"/>
      <c r="AI233" s="11"/>
      <c r="AJ233" s="11"/>
      <c r="AK233" s="11"/>
      <c r="AL233" s="52"/>
      <c r="AM233" s="53"/>
      <c r="AN233" s="53">
        <f t="shared" si="16"/>
        <v>9</v>
      </c>
      <c r="AO233" s="77">
        <f t="shared" si="20"/>
        <v>-10</v>
      </c>
      <c r="AP233" s="54">
        <f t="shared" si="21"/>
        <v>0</v>
      </c>
      <c r="AQ233" s="77">
        <f t="shared" si="22"/>
        <v>-10</v>
      </c>
      <c r="AR233" s="54">
        <f t="shared" si="23"/>
        <v>0.01</v>
      </c>
      <c r="AS233" s="15"/>
      <c r="AT233" s="15"/>
      <c r="AU233" s="16"/>
      <c r="AV233" s="17"/>
      <c r="AW233" s="16"/>
      <c r="AX233" s="15"/>
      <c r="AY233" s="19"/>
      <c r="AZ233" s="15"/>
      <c r="BA233" s="18"/>
      <c r="BB233" s="17"/>
      <c r="BC233" s="17"/>
      <c r="BD233" s="17"/>
      <c r="BE233" s="6"/>
    </row>
    <row r="234" spans="1:57" x14ac:dyDescent="0.25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00"/>
      <c r="AB234" s="100"/>
      <c r="AC234" s="11"/>
      <c r="AD234" s="11"/>
      <c r="AE234" s="11"/>
      <c r="AF234" s="11"/>
      <c r="AG234" s="11"/>
      <c r="AH234" s="11"/>
      <c r="AI234" s="11"/>
      <c r="AJ234" s="11"/>
      <c r="AK234" s="11"/>
      <c r="AL234" s="57"/>
      <c r="AM234" s="80"/>
      <c r="AN234" s="80">
        <f t="shared" si="16"/>
        <v>9</v>
      </c>
      <c r="AO234" s="81">
        <f t="shared" si="20"/>
        <v>-10</v>
      </c>
      <c r="AP234" s="82">
        <f t="shared" si="21"/>
        <v>0</v>
      </c>
      <c r="AQ234" s="81">
        <f t="shared" si="22"/>
        <v>-10</v>
      </c>
      <c r="AR234" s="82">
        <f t="shared" si="23"/>
        <v>0.01</v>
      </c>
      <c r="AS234" s="15"/>
      <c r="AT234" s="15"/>
      <c r="AU234" s="16"/>
      <c r="AV234" s="17"/>
      <c r="AW234" s="16"/>
      <c r="AX234" s="15"/>
      <c r="AY234" s="19"/>
      <c r="AZ234" s="15"/>
      <c r="BA234" s="18"/>
      <c r="BB234" s="17"/>
      <c r="BC234" s="17"/>
      <c r="BD234" s="17"/>
      <c r="BE234" s="6"/>
    </row>
    <row r="235" spans="1:57" x14ac:dyDescent="0.25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00"/>
      <c r="AB235" s="100"/>
      <c r="AC235" s="11"/>
      <c r="AD235" s="11"/>
      <c r="AE235" s="11"/>
      <c r="AF235" s="11"/>
      <c r="AG235" s="11"/>
      <c r="AH235" s="11"/>
      <c r="AI235" s="11"/>
      <c r="AJ235" s="11"/>
      <c r="AK235" s="11"/>
      <c r="AL235" s="52"/>
      <c r="AM235" s="53"/>
      <c r="AN235" s="53">
        <f t="shared" si="16"/>
        <v>9</v>
      </c>
      <c r="AO235" s="77">
        <f t="shared" si="20"/>
        <v>-10</v>
      </c>
      <c r="AP235" s="54">
        <f t="shared" si="21"/>
        <v>0</v>
      </c>
      <c r="AQ235" s="77">
        <f t="shared" si="22"/>
        <v>-10</v>
      </c>
      <c r="AR235" s="54">
        <f t="shared" si="23"/>
        <v>0.01</v>
      </c>
      <c r="AS235" s="15"/>
      <c r="AT235" s="15"/>
      <c r="AU235" s="16"/>
      <c r="AV235" s="17"/>
      <c r="AW235" s="16"/>
      <c r="AX235" s="15"/>
      <c r="AY235" s="19"/>
      <c r="AZ235" s="15"/>
      <c r="BA235" s="18"/>
      <c r="BB235" s="17"/>
      <c r="BC235" s="17"/>
      <c r="BD235" s="17"/>
      <c r="BE235" s="6"/>
    </row>
    <row r="236" spans="1:57" x14ac:dyDescent="0.25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00"/>
      <c r="AB236" s="100"/>
      <c r="AC236" s="11"/>
      <c r="AD236" s="11"/>
      <c r="AE236" s="11"/>
      <c r="AF236" s="11"/>
      <c r="AG236" s="11"/>
      <c r="AH236" s="11"/>
      <c r="AI236" s="11"/>
      <c r="AJ236" s="11"/>
      <c r="AK236" s="11"/>
      <c r="AL236" s="57"/>
      <c r="AM236" s="80"/>
      <c r="AN236" s="80">
        <f t="shared" si="16"/>
        <v>9</v>
      </c>
      <c r="AO236" s="81">
        <f t="shared" si="20"/>
        <v>-10</v>
      </c>
      <c r="AP236" s="82">
        <f t="shared" si="21"/>
        <v>0</v>
      </c>
      <c r="AQ236" s="81">
        <f t="shared" si="22"/>
        <v>-10</v>
      </c>
      <c r="AR236" s="82">
        <f t="shared" si="23"/>
        <v>0.01</v>
      </c>
      <c r="AS236" s="15"/>
      <c r="AT236" s="15"/>
      <c r="AU236" s="16"/>
      <c r="AV236" s="17"/>
      <c r="AW236" s="16"/>
      <c r="AX236" s="15"/>
      <c r="AY236" s="19"/>
      <c r="AZ236" s="15"/>
      <c r="BA236" s="18"/>
      <c r="BB236" s="17"/>
      <c r="BC236" s="17"/>
      <c r="BD236" s="17"/>
      <c r="BE236" s="6"/>
    </row>
    <row r="237" spans="1:57" x14ac:dyDescent="0.25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00"/>
      <c r="AB237" s="100"/>
      <c r="AC237" s="11"/>
      <c r="AD237" s="11"/>
      <c r="AE237" s="11"/>
      <c r="AF237" s="11"/>
      <c r="AG237" s="11"/>
      <c r="AH237" s="11"/>
      <c r="AI237" s="11"/>
      <c r="AJ237" s="11"/>
      <c r="AK237" s="11"/>
      <c r="AL237" s="52"/>
      <c r="AM237" s="53"/>
      <c r="AN237" s="53">
        <f t="shared" si="16"/>
        <v>9</v>
      </c>
      <c r="AO237" s="77">
        <f t="shared" si="20"/>
        <v>-10</v>
      </c>
      <c r="AP237" s="54">
        <f t="shared" si="21"/>
        <v>0</v>
      </c>
      <c r="AQ237" s="77">
        <f t="shared" si="22"/>
        <v>-10</v>
      </c>
      <c r="AR237" s="54">
        <f t="shared" si="23"/>
        <v>0.01</v>
      </c>
      <c r="AS237" s="15"/>
      <c r="AT237" s="15"/>
      <c r="AU237" s="16"/>
      <c r="AV237" s="17"/>
      <c r="AW237" s="16"/>
      <c r="AX237" s="15"/>
      <c r="AY237" s="19"/>
      <c r="AZ237" s="15"/>
      <c r="BA237" s="18"/>
      <c r="BB237" s="17"/>
      <c r="BC237" s="17"/>
      <c r="BD237" s="17"/>
      <c r="BE237" s="6"/>
    </row>
    <row r="238" spans="1:57" x14ac:dyDescent="0.25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00"/>
      <c r="AB238" s="100"/>
      <c r="AC238" s="11"/>
      <c r="AD238" s="11"/>
      <c r="AE238" s="11"/>
      <c r="AF238" s="11"/>
      <c r="AG238" s="11"/>
      <c r="AH238" s="11"/>
      <c r="AI238" s="11"/>
      <c r="AJ238" s="11"/>
      <c r="AK238" s="11"/>
      <c r="AL238" s="57"/>
      <c r="AM238" s="80"/>
      <c r="AN238" s="80">
        <f t="shared" si="16"/>
        <v>9</v>
      </c>
      <c r="AO238" s="81">
        <f t="shared" si="20"/>
        <v>-10</v>
      </c>
      <c r="AP238" s="82">
        <f t="shared" si="21"/>
        <v>0</v>
      </c>
      <c r="AQ238" s="81">
        <f t="shared" si="22"/>
        <v>-10</v>
      </c>
      <c r="AR238" s="82">
        <f t="shared" si="23"/>
        <v>0.01</v>
      </c>
      <c r="AS238" s="15"/>
      <c r="AT238" s="15"/>
      <c r="AU238" s="16"/>
      <c r="AV238" s="17"/>
      <c r="AW238" s="16"/>
      <c r="AX238" s="15"/>
      <c r="AY238" s="19"/>
      <c r="AZ238" s="15"/>
      <c r="BA238" s="18"/>
      <c r="BB238" s="17"/>
      <c r="BC238" s="17"/>
      <c r="BD238" s="17"/>
      <c r="BE238" s="6"/>
    </row>
    <row r="239" spans="1:57" x14ac:dyDescent="0.25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00"/>
      <c r="AB239" s="100"/>
      <c r="AC239" s="11"/>
      <c r="AD239" s="11"/>
      <c r="AE239" s="11"/>
      <c r="AF239" s="11"/>
      <c r="AG239" s="11"/>
      <c r="AH239" s="11"/>
      <c r="AI239" s="11"/>
      <c r="AJ239" s="11"/>
      <c r="AK239" s="11"/>
      <c r="AL239" s="52"/>
      <c r="AM239" s="53"/>
      <c r="AN239" s="53">
        <f t="shared" si="16"/>
        <v>9</v>
      </c>
      <c r="AO239" s="77">
        <f t="shared" ref="AO239:AO302" si="24">IF(AO238+(AQ238/AN239)&lt;AQ238,AQ238,AO238+(AQ238/AN239))</f>
        <v>-10</v>
      </c>
      <c r="AP239" s="54">
        <f t="shared" si="21"/>
        <v>0</v>
      </c>
      <c r="AQ239" s="77">
        <f>AQ238</f>
        <v>-10</v>
      </c>
      <c r="AR239" s="54">
        <f>AR238</f>
        <v>0.01</v>
      </c>
      <c r="AS239" s="15"/>
      <c r="AT239" s="15"/>
      <c r="AU239" s="16"/>
      <c r="AV239" s="17"/>
      <c r="AW239" s="16"/>
      <c r="AX239" s="15"/>
      <c r="AY239" s="19"/>
      <c r="AZ239" s="15"/>
      <c r="BA239" s="18"/>
      <c r="BB239" s="17"/>
      <c r="BC239" s="17"/>
      <c r="BD239" s="17"/>
      <c r="BE239" s="6"/>
    </row>
    <row r="240" spans="1:57" x14ac:dyDescent="0.25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00"/>
      <c r="AB240" s="100"/>
      <c r="AC240" s="11"/>
      <c r="AD240" s="11"/>
      <c r="AE240" s="11"/>
      <c r="AF240" s="11"/>
      <c r="AG240" s="11"/>
      <c r="AH240" s="11"/>
      <c r="AI240" s="11"/>
      <c r="AJ240" s="11"/>
      <c r="AK240" s="11"/>
      <c r="AL240" s="57"/>
      <c r="AM240" s="80"/>
      <c r="AN240" s="80">
        <f t="shared" si="16"/>
        <v>9</v>
      </c>
      <c r="AO240" s="81">
        <f t="shared" si="24"/>
        <v>-10</v>
      </c>
      <c r="AP240" s="82">
        <f t="shared" si="21"/>
        <v>0</v>
      </c>
      <c r="AQ240" s="81">
        <f t="shared" si="22"/>
        <v>-10</v>
      </c>
      <c r="AR240" s="82">
        <f t="shared" si="23"/>
        <v>0.01</v>
      </c>
      <c r="AS240" s="15"/>
      <c r="AT240" s="15"/>
      <c r="AU240" s="16"/>
      <c r="AV240" s="17"/>
      <c r="AW240" s="16"/>
      <c r="AX240" s="15"/>
      <c r="AY240" s="19"/>
      <c r="AZ240" s="15"/>
      <c r="BA240" s="18"/>
      <c r="BB240" s="17"/>
      <c r="BC240" s="17"/>
      <c r="BD240" s="17"/>
      <c r="BE240" s="6"/>
    </row>
    <row r="241" spans="1:57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00"/>
      <c r="AB241" s="100"/>
      <c r="AC241" s="11"/>
      <c r="AD241" s="11"/>
      <c r="AE241" s="11"/>
      <c r="AF241" s="11"/>
      <c r="AG241" s="11"/>
      <c r="AH241" s="11"/>
      <c r="AI241" s="11"/>
      <c r="AJ241" s="11"/>
      <c r="AK241" s="11"/>
      <c r="AL241" s="52"/>
      <c r="AM241" s="53"/>
      <c r="AN241" s="53">
        <f t="shared" si="16"/>
        <v>9</v>
      </c>
      <c r="AO241" s="77">
        <f t="shared" si="24"/>
        <v>-10</v>
      </c>
      <c r="AP241" s="54">
        <f t="shared" si="21"/>
        <v>0</v>
      </c>
      <c r="AQ241" s="77">
        <f t="shared" si="22"/>
        <v>-10</v>
      </c>
      <c r="AR241" s="54">
        <f t="shared" si="23"/>
        <v>0.01</v>
      </c>
      <c r="AS241" s="15"/>
      <c r="AT241" s="15"/>
      <c r="AU241" s="16"/>
      <c r="AV241" s="17"/>
      <c r="AW241" s="16"/>
      <c r="AX241" s="15"/>
      <c r="AY241" s="19"/>
      <c r="AZ241" s="15"/>
      <c r="BA241" s="18"/>
      <c r="BB241" s="17"/>
      <c r="BC241" s="17"/>
      <c r="BD241" s="17"/>
      <c r="BE241" s="6"/>
    </row>
    <row r="242" spans="1:57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00"/>
      <c r="AB242" s="100"/>
      <c r="AC242" s="11"/>
      <c r="AD242" s="11"/>
      <c r="AE242" s="11"/>
      <c r="AF242" s="11"/>
      <c r="AG242" s="11"/>
      <c r="AH242" s="11"/>
      <c r="AI242" s="11"/>
      <c r="AJ242" s="11"/>
      <c r="AK242" s="11"/>
      <c r="AL242" s="57"/>
      <c r="AM242" s="80"/>
      <c r="AN242" s="80">
        <f t="shared" si="16"/>
        <v>9</v>
      </c>
      <c r="AO242" s="81">
        <f t="shared" si="24"/>
        <v>-10</v>
      </c>
      <c r="AP242" s="82">
        <f t="shared" si="21"/>
        <v>0</v>
      </c>
      <c r="AQ242" s="81">
        <f t="shared" si="22"/>
        <v>-10</v>
      </c>
      <c r="AR242" s="82">
        <f t="shared" si="23"/>
        <v>0.01</v>
      </c>
      <c r="AS242" s="15"/>
      <c r="AT242" s="15"/>
      <c r="AU242" s="16"/>
      <c r="AV242" s="17"/>
      <c r="AW242" s="16"/>
      <c r="AX242" s="15"/>
      <c r="AY242" s="19"/>
      <c r="AZ242" s="15"/>
      <c r="BA242" s="18"/>
      <c r="BB242" s="17"/>
      <c r="BC242" s="17"/>
      <c r="BD242" s="17"/>
      <c r="BE242" s="6"/>
    </row>
    <row r="243" spans="1:57" x14ac:dyDescent="0.25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00"/>
      <c r="AB243" s="100"/>
      <c r="AC243" s="11"/>
      <c r="AD243" s="11"/>
      <c r="AE243" s="11"/>
      <c r="AF243" s="11"/>
      <c r="AG243" s="11"/>
      <c r="AH243" s="11"/>
      <c r="AI243" s="11"/>
      <c r="AJ243" s="11"/>
      <c r="AK243" s="11"/>
      <c r="AL243" s="52"/>
      <c r="AM243" s="53"/>
      <c r="AN243" s="53">
        <f t="shared" si="16"/>
        <v>9</v>
      </c>
      <c r="AO243" s="77">
        <f t="shared" si="24"/>
        <v>-10</v>
      </c>
      <c r="AP243" s="54">
        <f t="shared" si="21"/>
        <v>0</v>
      </c>
      <c r="AQ243" s="77">
        <f t="shared" si="22"/>
        <v>-10</v>
      </c>
      <c r="AR243" s="54">
        <f t="shared" si="23"/>
        <v>0.01</v>
      </c>
      <c r="AS243" s="15"/>
      <c r="AT243" s="15"/>
      <c r="AU243" s="16"/>
      <c r="AV243" s="17"/>
      <c r="AW243" s="16"/>
      <c r="AX243" s="15"/>
      <c r="AY243" s="19"/>
      <c r="AZ243" s="15"/>
      <c r="BA243" s="18"/>
      <c r="BB243" s="17"/>
      <c r="BC243" s="17"/>
      <c r="BD243" s="17"/>
      <c r="BE243" s="6"/>
    </row>
    <row r="244" spans="1:57" x14ac:dyDescent="0.25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00"/>
      <c r="AB244" s="100"/>
      <c r="AC244" s="11"/>
      <c r="AD244" s="11"/>
      <c r="AE244" s="11"/>
      <c r="AF244" s="11"/>
      <c r="AG244" s="11"/>
      <c r="AH244" s="11"/>
      <c r="AI244" s="11"/>
      <c r="AJ244" s="11"/>
      <c r="AK244" s="11"/>
      <c r="AL244" s="57"/>
      <c r="AM244" s="80"/>
      <c r="AN244" s="80">
        <f t="shared" si="16"/>
        <v>9</v>
      </c>
      <c r="AO244" s="81">
        <f t="shared" si="24"/>
        <v>-10</v>
      </c>
      <c r="AP244" s="82">
        <f t="shared" si="21"/>
        <v>0</v>
      </c>
      <c r="AQ244" s="81">
        <f t="shared" si="22"/>
        <v>-10</v>
      </c>
      <c r="AR244" s="82">
        <f t="shared" si="23"/>
        <v>0.01</v>
      </c>
      <c r="AS244" s="15"/>
      <c r="AT244" s="15"/>
      <c r="AU244" s="16"/>
      <c r="AV244" s="17"/>
      <c r="AW244" s="16"/>
      <c r="AX244" s="15"/>
      <c r="AY244" s="19"/>
      <c r="AZ244" s="15"/>
      <c r="BA244" s="18"/>
      <c r="BB244" s="17"/>
      <c r="BC244" s="17"/>
      <c r="BD244" s="17"/>
      <c r="BE244" s="6"/>
    </row>
    <row r="245" spans="1:57" x14ac:dyDescent="0.25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00"/>
      <c r="AB245" s="100"/>
      <c r="AC245" s="11"/>
      <c r="AD245" s="11"/>
      <c r="AE245" s="11"/>
      <c r="AF245" s="11"/>
      <c r="AG245" s="11"/>
      <c r="AH245" s="11"/>
      <c r="AI245" s="11"/>
      <c r="AJ245" s="11"/>
      <c r="AK245" s="11"/>
      <c r="AL245" s="52"/>
      <c r="AM245" s="53"/>
      <c r="AN245" s="53">
        <f t="shared" si="16"/>
        <v>9</v>
      </c>
      <c r="AO245" s="77">
        <f t="shared" si="24"/>
        <v>-10</v>
      </c>
      <c r="AP245" s="54">
        <f t="shared" si="21"/>
        <v>0</v>
      </c>
      <c r="AQ245" s="77">
        <f t="shared" si="22"/>
        <v>-10</v>
      </c>
      <c r="AR245" s="54">
        <f t="shared" si="23"/>
        <v>0.01</v>
      </c>
      <c r="AS245" s="15"/>
      <c r="AT245" s="15"/>
      <c r="AU245" s="16"/>
      <c r="AV245" s="17"/>
      <c r="AW245" s="16"/>
      <c r="AX245" s="15"/>
      <c r="AY245" s="19"/>
      <c r="AZ245" s="15"/>
      <c r="BA245" s="18"/>
      <c r="BB245" s="17"/>
      <c r="BC245" s="17"/>
      <c r="BD245" s="17"/>
      <c r="BE245" s="6"/>
    </row>
    <row r="246" spans="1:57" x14ac:dyDescent="0.25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00"/>
      <c r="AB246" s="100"/>
      <c r="AC246" s="11"/>
      <c r="AD246" s="11"/>
      <c r="AE246" s="11"/>
      <c r="AF246" s="11"/>
      <c r="AG246" s="11"/>
      <c r="AH246" s="11"/>
      <c r="AI246" s="11"/>
      <c r="AJ246" s="11"/>
      <c r="AK246" s="11"/>
      <c r="AL246" s="57"/>
      <c r="AM246" s="80"/>
      <c r="AN246" s="80">
        <f t="shared" si="16"/>
        <v>9</v>
      </c>
      <c r="AO246" s="81">
        <f t="shared" si="24"/>
        <v>-10</v>
      </c>
      <c r="AP246" s="82">
        <f t="shared" si="21"/>
        <v>0</v>
      </c>
      <c r="AQ246" s="81">
        <f t="shared" si="22"/>
        <v>-10</v>
      </c>
      <c r="AR246" s="82">
        <f t="shared" si="23"/>
        <v>0.01</v>
      </c>
      <c r="AS246" s="15"/>
      <c r="AT246" s="15"/>
      <c r="AU246" s="16"/>
      <c r="AV246" s="17"/>
      <c r="AW246" s="16"/>
      <c r="AX246" s="15"/>
      <c r="AY246" s="19"/>
      <c r="AZ246" s="15"/>
      <c r="BA246" s="18"/>
      <c r="BB246" s="17"/>
      <c r="BC246" s="17"/>
      <c r="BD246" s="17"/>
      <c r="BE246" s="6"/>
    </row>
    <row r="247" spans="1:57" x14ac:dyDescent="0.25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00"/>
      <c r="AB247" s="100"/>
      <c r="AC247" s="11"/>
      <c r="AD247" s="11"/>
      <c r="AE247" s="11"/>
      <c r="AF247" s="11"/>
      <c r="AG247" s="11"/>
      <c r="AH247" s="11"/>
      <c r="AI247" s="11"/>
      <c r="AJ247" s="11"/>
      <c r="AK247" s="11"/>
      <c r="AL247" s="52"/>
      <c r="AM247" s="53"/>
      <c r="AN247" s="53">
        <f t="shared" si="16"/>
        <v>9</v>
      </c>
      <c r="AO247" s="77">
        <f t="shared" si="24"/>
        <v>-10</v>
      </c>
      <c r="AP247" s="54">
        <f t="shared" si="21"/>
        <v>0</v>
      </c>
      <c r="AQ247" s="77">
        <f t="shared" si="22"/>
        <v>-10</v>
      </c>
      <c r="AR247" s="54">
        <f t="shared" si="23"/>
        <v>0.01</v>
      </c>
      <c r="AS247" s="15"/>
      <c r="AT247" s="15"/>
      <c r="AU247" s="16"/>
      <c r="AV247" s="17"/>
      <c r="AW247" s="16"/>
      <c r="AX247" s="15"/>
      <c r="AY247" s="19"/>
      <c r="AZ247" s="15"/>
      <c r="BA247" s="18"/>
      <c r="BB247" s="17"/>
      <c r="BC247" s="17"/>
      <c r="BD247" s="17"/>
      <c r="BE247" s="6"/>
    </row>
    <row r="248" spans="1:57" x14ac:dyDescent="0.25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00"/>
      <c r="AB248" s="100"/>
      <c r="AC248" s="11"/>
      <c r="AD248" s="11"/>
      <c r="AE248" s="11"/>
      <c r="AF248" s="11"/>
      <c r="AG248" s="11"/>
      <c r="AH248" s="11"/>
      <c r="AI248" s="11"/>
      <c r="AJ248" s="11"/>
      <c r="AK248" s="11"/>
      <c r="AL248" s="57"/>
      <c r="AM248" s="80"/>
      <c r="AN248" s="80">
        <f t="shared" si="16"/>
        <v>9</v>
      </c>
      <c r="AO248" s="81">
        <f t="shared" si="24"/>
        <v>-10</v>
      </c>
      <c r="AP248" s="82">
        <f t="shared" si="21"/>
        <v>0</v>
      </c>
      <c r="AQ248" s="81">
        <f t="shared" si="22"/>
        <v>-10</v>
      </c>
      <c r="AR248" s="82">
        <f t="shared" si="23"/>
        <v>0.01</v>
      </c>
      <c r="AS248" s="15"/>
      <c r="AT248" s="15"/>
      <c r="AU248" s="16"/>
      <c r="AV248" s="17"/>
      <c r="AW248" s="16"/>
      <c r="AX248" s="15"/>
      <c r="AY248" s="19"/>
      <c r="AZ248" s="15"/>
      <c r="BA248" s="18"/>
      <c r="BB248" s="17"/>
      <c r="BC248" s="17"/>
      <c r="BD248" s="17"/>
      <c r="BE248" s="6"/>
    </row>
    <row r="249" spans="1:57" x14ac:dyDescent="0.25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00"/>
      <c r="AB249" s="100"/>
      <c r="AC249" s="11"/>
      <c r="AD249" s="11"/>
      <c r="AE249" s="11"/>
      <c r="AF249" s="11"/>
      <c r="AG249" s="11"/>
      <c r="AH249" s="11"/>
      <c r="AI249" s="11"/>
      <c r="AJ249" s="11"/>
      <c r="AK249" s="11"/>
      <c r="AL249" s="52"/>
      <c r="AM249" s="53"/>
      <c r="AN249" s="53">
        <f t="shared" si="16"/>
        <v>9</v>
      </c>
      <c r="AO249" s="77">
        <f t="shared" si="24"/>
        <v>-10</v>
      </c>
      <c r="AP249" s="54">
        <f t="shared" si="21"/>
        <v>0</v>
      </c>
      <c r="AQ249" s="77">
        <f t="shared" si="22"/>
        <v>-10</v>
      </c>
      <c r="AR249" s="54">
        <f t="shared" si="23"/>
        <v>0.01</v>
      </c>
      <c r="AS249" s="15"/>
      <c r="AT249" s="15"/>
      <c r="AU249" s="16"/>
      <c r="AV249" s="17"/>
      <c r="AW249" s="16"/>
      <c r="AX249" s="15"/>
      <c r="AY249" s="19"/>
      <c r="AZ249" s="15"/>
      <c r="BA249" s="18"/>
      <c r="BB249" s="17"/>
      <c r="BC249" s="17"/>
      <c r="BD249" s="17"/>
      <c r="BE249" s="6"/>
    </row>
    <row r="250" spans="1:57" x14ac:dyDescent="0.25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00"/>
      <c r="AB250" s="100"/>
      <c r="AC250" s="11"/>
      <c r="AD250" s="11"/>
      <c r="AE250" s="11"/>
      <c r="AF250" s="11"/>
      <c r="AG250" s="11"/>
      <c r="AH250" s="11"/>
      <c r="AI250" s="11"/>
      <c r="AJ250" s="11"/>
      <c r="AK250" s="11"/>
      <c r="AL250" s="57"/>
      <c r="AM250" s="80"/>
      <c r="AN250" s="80">
        <f t="shared" si="16"/>
        <v>9</v>
      </c>
      <c r="AO250" s="81">
        <f t="shared" si="24"/>
        <v>-10</v>
      </c>
      <c r="AP250" s="82">
        <f t="shared" si="21"/>
        <v>0</v>
      </c>
      <c r="AQ250" s="81">
        <f t="shared" si="22"/>
        <v>-10</v>
      </c>
      <c r="AR250" s="82">
        <f t="shared" si="23"/>
        <v>0.01</v>
      </c>
      <c r="AS250" s="15"/>
      <c r="AT250" s="15"/>
      <c r="AU250" s="16"/>
      <c r="AV250" s="17"/>
      <c r="AW250" s="16"/>
      <c r="AX250" s="15"/>
      <c r="AY250" s="19"/>
      <c r="AZ250" s="15"/>
      <c r="BA250" s="18"/>
      <c r="BB250" s="17"/>
      <c r="BC250" s="17"/>
      <c r="BD250" s="17"/>
      <c r="BE250" s="6"/>
    </row>
    <row r="251" spans="1:57" x14ac:dyDescent="0.25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00"/>
      <c r="AB251" s="100"/>
      <c r="AC251" s="11"/>
      <c r="AD251" s="11"/>
      <c r="AE251" s="11"/>
      <c r="AF251" s="11"/>
      <c r="AG251" s="11"/>
      <c r="AH251" s="11"/>
      <c r="AI251" s="11"/>
      <c r="AJ251" s="11"/>
      <c r="AK251" s="11"/>
      <c r="AL251" s="52"/>
      <c r="AM251" s="53"/>
      <c r="AN251" s="53">
        <f t="shared" si="16"/>
        <v>9</v>
      </c>
      <c r="AO251" s="77">
        <f t="shared" si="24"/>
        <v>-10</v>
      </c>
      <c r="AP251" s="54">
        <f t="shared" si="21"/>
        <v>0</v>
      </c>
      <c r="AQ251" s="77">
        <f t="shared" si="22"/>
        <v>-10</v>
      </c>
      <c r="AR251" s="54">
        <f t="shared" si="23"/>
        <v>0.01</v>
      </c>
      <c r="AS251" s="15"/>
      <c r="AT251" s="15"/>
      <c r="AU251" s="16"/>
      <c r="AV251" s="17"/>
      <c r="AW251" s="16"/>
      <c r="AX251" s="15"/>
      <c r="AY251" s="19"/>
      <c r="AZ251" s="15"/>
      <c r="BA251" s="18"/>
      <c r="BB251" s="17"/>
      <c r="BC251" s="17"/>
      <c r="BD251" s="17"/>
      <c r="BE251" s="6"/>
    </row>
    <row r="252" spans="1:57" x14ac:dyDescent="0.25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00"/>
      <c r="AB252" s="100"/>
      <c r="AC252" s="11"/>
      <c r="AD252" s="11"/>
      <c r="AE252" s="11"/>
      <c r="AF252" s="11"/>
      <c r="AG252" s="11"/>
      <c r="AH252" s="11"/>
      <c r="AI252" s="11"/>
      <c r="AJ252" s="11"/>
      <c r="AK252" s="11"/>
      <c r="AL252" s="57"/>
      <c r="AM252" s="80"/>
      <c r="AN252" s="80">
        <f t="shared" si="16"/>
        <v>9</v>
      </c>
      <c r="AO252" s="81">
        <f t="shared" si="24"/>
        <v>-10</v>
      </c>
      <c r="AP252" s="82">
        <f t="shared" si="21"/>
        <v>0</v>
      </c>
      <c r="AQ252" s="81">
        <f t="shared" si="22"/>
        <v>-10</v>
      </c>
      <c r="AR252" s="82">
        <f t="shared" si="23"/>
        <v>0.01</v>
      </c>
      <c r="AS252" s="15"/>
      <c r="AT252" s="15"/>
      <c r="AU252" s="16"/>
      <c r="AV252" s="17"/>
      <c r="AW252" s="16"/>
      <c r="AX252" s="15"/>
      <c r="AY252" s="19"/>
      <c r="AZ252" s="15"/>
      <c r="BA252" s="18"/>
      <c r="BB252" s="17"/>
      <c r="BC252" s="17"/>
      <c r="BD252" s="17"/>
      <c r="BE252" s="6"/>
    </row>
    <row r="253" spans="1:57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00"/>
      <c r="AB253" s="100"/>
      <c r="AC253" s="11"/>
      <c r="AD253" s="11"/>
      <c r="AE253" s="11"/>
      <c r="AF253" s="11"/>
      <c r="AG253" s="11"/>
      <c r="AH253" s="11"/>
      <c r="AI253" s="11"/>
      <c r="AJ253" s="11"/>
      <c r="AK253" s="11"/>
      <c r="AL253" s="52"/>
      <c r="AM253" s="53"/>
      <c r="AN253" s="53">
        <f t="shared" si="16"/>
        <v>9</v>
      </c>
      <c r="AO253" s="77">
        <f t="shared" si="24"/>
        <v>-10</v>
      </c>
      <c r="AP253" s="54">
        <f t="shared" si="21"/>
        <v>0</v>
      </c>
      <c r="AQ253" s="77">
        <f t="shared" si="22"/>
        <v>-10</v>
      </c>
      <c r="AR253" s="54">
        <f t="shared" si="23"/>
        <v>0.01</v>
      </c>
      <c r="AS253" s="15"/>
      <c r="AT253" s="15"/>
      <c r="AU253" s="16"/>
      <c r="AV253" s="17"/>
      <c r="AW253" s="16"/>
      <c r="AX253" s="15"/>
      <c r="AY253" s="19"/>
      <c r="AZ253" s="15"/>
      <c r="BA253" s="18"/>
      <c r="BB253" s="17"/>
      <c r="BC253" s="17"/>
      <c r="BD253" s="17"/>
      <c r="BE253" s="6"/>
    </row>
    <row r="254" spans="1:57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00"/>
      <c r="AB254" s="100"/>
      <c r="AC254" s="11"/>
      <c r="AD254" s="11"/>
      <c r="AE254" s="11"/>
      <c r="AF254" s="11"/>
      <c r="AG254" s="11"/>
      <c r="AH254" s="11"/>
      <c r="AI254" s="11"/>
      <c r="AJ254" s="11"/>
      <c r="AK254" s="11"/>
      <c r="AL254" s="57"/>
      <c r="AM254" s="80"/>
      <c r="AN254" s="80">
        <f t="shared" si="16"/>
        <v>9</v>
      </c>
      <c r="AO254" s="81">
        <f t="shared" si="24"/>
        <v>-10</v>
      </c>
      <c r="AP254" s="82">
        <f t="shared" si="21"/>
        <v>0</v>
      </c>
      <c r="AQ254" s="81">
        <f t="shared" si="22"/>
        <v>-10</v>
      </c>
      <c r="AR254" s="82">
        <f t="shared" si="23"/>
        <v>0.01</v>
      </c>
      <c r="AS254" s="15"/>
      <c r="AT254" s="15"/>
      <c r="AU254" s="16"/>
      <c r="AV254" s="17"/>
      <c r="AW254" s="16"/>
      <c r="AX254" s="15"/>
      <c r="AY254" s="19"/>
      <c r="AZ254" s="15"/>
      <c r="BA254" s="18"/>
      <c r="BB254" s="17"/>
      <c r="BC254" s="17"/>
      <c r="BD254" s="17"/>
      <c r="BE254" s="6"/>
    </row>
    <row r="255" spans="1:57" x14ac:dyDescent="0.25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00"/>
      <c r="AB255" s="100"/>
      <c r="AC255" s="11"/>
      <c r="AD255" s="11"/>
      <c r="AE255" s="11"/>
      <c r="AF255" s="11"/>
      <c r="AG255" s="11"/>
      <c r="AH255" s="11"/>
      <c r="AI255" s="11"/>
      <c r="AJ255" s="11"/>
      <c r="AK255" s="11"/>
      <c r="AL255" s="52"/>
      <c r="AM255" s="53"/>
      <c r="AN255" s="53">
        <f t="shared" si="16"/>
        <v>9</v>
      </c>
      <c r="AO255" s="77">
        <f t="shared" si="24"/>
        <v>-10</v>
      </c>
      <c r="AP255" s="54">
        <f t="shared" si="21"/>
        <v>0</v>
      </c>
      <c r="AQ255" s="77">
        <f t="shared" si="22"/>
        <v>-10</v>
      </c>
      <c r="AR255" s="54">
        <f t="shared" si="23"/>
        <v>0.01</v>
      </c>
      <c r="AS255" s="15"/>
      <c r="AT255" s="15"/>
      <c r="AU255" s="16"/>
      <c r="AV255" s="17"/>
      <c r="AW255" s="16"/>
      <c r="AX255" s="15"/>
      <c r="AY255" s="19"/>
      <c r="AZ255" s="15"/>
      <c r="BA255" s="18"/>
      <c r="BB255" s="17"/>
      <c r="BC255" s="17"/>
      <c r="BD255" s="17"/>
      <c r="BE255" s="6"/>
    </row>
    <row r="256" spans="1:57" x14ac:dyDescent="0.25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00"/>
      <c r="AB256" s="100"/>
      <c r="AC256" s="11"/>
      <c r="AD256" s="11"/>
      <c r="AE256" s="11"/>
      <c r="AF256" s="11"/>
      <c r="AG256" s="11"/>
      <c r="AH256" s="11"/>
      <c r="AI256" s="11"/>
      <c r="AJ256" s="11"/>
      <c r="AK256" s="11"/>
      <c r="AL256" s="57"/>
      <c r="AM256" s="80"/>
      <c r="AN256" s="80">
        <f t="shared" si="16"/>
        <v>9</v>
      </c>
      <c r="AO256" s="81">
        <f t="shared" si="24"/>
        <v>-10</v>
      </c>
      <c r="AP256" s="82">
        <f t="shared" si="21"/>
        <v>0</v>
      </c>
      <c r="AQ256" s="81">
        <f t="shared" si="22"/>
        <v>-10</v>
      </c>
      <c r="AR256" s="82">
        <f t="shared" si="23"/>
        <v>0.01</v>
      </c>
      <c r="AS256" s="15"/>
      <c r="AT256" s="15"/>
      <c r="AU256" s="16"/>
      <c r="AV256" s="17"/>
      <c r="AW256" s="16"/>
      <c r="AX256" s="15"/>
      <c r="AY256" s="19"/>
      <c r="AZ256" s="15"/>
      <c r="BA256" s="18"/>
      <c r="BB256" s="17"/>
      <c r="BC256" s="17"/>
      <c r="BD256" s="17"/>
      <c r="BE256" s="6"/>
    </row>
    <row r="257" spans="1:57" x14ac:dyDescent="0.25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00"/>
      <c r="AB257" s="100"/>
      <c r="AC257" s="11"/>
      <c r="AD257" s="11"/>
      <c r="AE257" s="11"/>
      <c r="AF257" s="11"/>
      <c r="AG257" s="11"/>
      <c r="AH257" s="11"/>
      <c r="AI257" s="11"/>
      <c r="AJ257" s="11"/>
      <c r="AK257" s="11"/>
      <c r="AL257" s="52"/>
      <c r="AM257" s="53"/>
      <c r="AN257" s="53">
        <f t="shared" si="16"/>
        <v>9</v>
      </c>
      <c r="AO257" s="77">
        <f t="shared" si="24"/>
        <v>-10</v>
      </c>
      <c r="AP257" s="54">
        <f t="shared" si="21"/>
        <v>0</v>
      </c>
      <c r="AQ257" s="77">
        <f t="shared" si="22"/>
        <v>-10</v>
      </c>
      <c r="AR257" s="54">
        <f t="shared" si="23"/>
        <v>0.01</v>
      </c>
      <c r="AS257" s="15"/>
      <c r="AT257" s="15"/>
      <c r="AU257" s="16"/>
      <c r="AV257" s="17"/>
      <c r="AW257" s="16"/>
      <c r="AX257" s="15"/>
      <c r="AY257" s="19"/>
      <c r="AZ257" s="15"/>
      <c r="BA257" s="18"/>
      <c r="BB257" s="17"/>
      <c r="BC257" s="17"/>
      <c r="BD257" s="17"/>
      <c r="BE257" s="6"/>
    </row>
    <row r="258" spans="1:57" x14ac:dyDescent="0.25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00"/>
      <c r="AB258" s="100"/>
      <c r="AC258" s="11"/>
      <c r="AD258" s="11"/>
      <c r="AE258" s="11"/>
      <c r="AF258" s="11"/>
      <c r="AG258" s="11"/>
      <c r="AH258" s="11"/>
      <c r="AI258" s="11"/>
      <c r="AJ258" s="11"/>
      <c r="AK258" s="11"/>
      <c r="AL258" s="57"/>
      <c r="AM258" s="80"/>
      <c r="AN258" s="80">
        <f t="shared" si="16"/>
        <v>9</v>
      </c>
      <c r="AO258" s="81">
        <f t="shared" si="24"/>
        <v>-10</v>
      </c>
      <c r="AP258" s="82">
        <f t="shared" si="21"/>
        <v>0</v>
      </c>
      <c r="AQ258" s="81">
        <f t="shared" si="22"/>
        <v>-10</v>
      </c>
      <c r="AR258" s="82">
        <f t="shared" si="23"/>
        <v>0.01</v>
      </c>
      <c r="AS258" s="15"/>
      <c r="AT258" s="15"/>
      <c r="AU258" s="16"/>
      <c r="AV258" s="17"/>
      <c r="AW258" s="16"/>
      <c r="AX258" s="15"/>
      <c r="AY258" s="19"/>
      <c r="AZ258" s="15"/>
      <c r="BA258" s="18"/>
      <c r="BB258" s="17"/>
      <c r="BC258" s="17"/>
      <c r="BD258" s="17"/>
      <c r="BE258" s="6"/>
    </row>
    <row r="259" spans="1:57" x14ac:dyDescent="0.25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00"/>
      <c r="AB259" s="100"/>
      <c r="AC259" s="11"/>
      <c r="AD259" s="11"/>
      <c r="AE259" s="11"/>
      <c r="AF259" s="11"/>
      <c r="AG259" s="11"/>
      <c r="AH259" s="11"/>
      <c r="AI259" s="11"/>
      <c r="AJ259" s="11"/>
      <c r="AK259" s="11"/>
      <c r="AL259" s="52"/>
      <c r="AM259" s="53"/>
      <c r="AN259" s="53">
        <f t="shared" ref="AN259:AN322" si="25">AN258</f>
        <v>9</v>
      </c>
      <c r="AO259" s="77">
        <f t="shared" si="24"/>
        <v>-10</v>
      </c>
      <c r="AP259" s="54">
        <f t="shared" si="21"/>
        <v>0</v>
      </c>
      <c r="AQ259" s="77">
        <f t="shared" si="22"/>
        <v>-10</v>
      </c>
      <c r="AR259" s="54">
        <f t="shared" si="23"/>
        <v>0.01</v>
      </c>
      <c r="AS259" s="15"/>
      <c r="AT259" s="15"/>
      <c r="AU259" s="16"/>
      <c r="AV259" s="17"/>
      <c r="AW259" s="16"/>
      <c r="AX259" s="15"/>
      <c r="AY259" s="19"/>
      <c r="AZ259" s="15"/>
      <c r="BA259" s="18"/>
      <c r="BB259" s="17"/>
      <c r="BC259" s="17"/>
      <c r="BD259" s="17"/>
      <c r="BE259" s="6"/>
    </row>
    <row r="260" spans="1:57" x14ac:dyDescent="0.25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00"/>
      <c r="AB260" s="100"/>
      <c r="AC260" s="11"/>
      <c r="AD260" s="11"/>
      <c r="AE260" s="11"/>
      <c r="AF260" s="11"/>
      <c r="AG260" s="11"/>
      <c r="AH260" s="11"/>
      <c r="AI260" s="11"/>
      <c r="AJ260" s="11"/>
      <c r="AK260" s="11"/>
      <c r="AL260" s="57"/>
      <c r="AM260" s="80"/>
      <c r="AN260" s="80">
        <f t="shared" si="25"/>
        <v>9</v>
      </c>
      <c r="AO260" s="81">
        <f t="shared" si="24"/>
        <v>-10</v>
      </c>
      <c r="AP260" s="82">
        <f t="shared" si="21"/>
        <v>0</v>
      </c>
      <c r="AQ260" s="81">
        <f t="shared" si="22"/>
        <v>-10</v>
      </c>
      <c r="AR260" s="82">
        <f t="shared" si="23"/>
        <v>0.01</v>
      </c>
      <c r="AS260" s="15"/>
      <c r="AT260" s="15"/>
      <c r="AU260" s="16"/>
      <c r="AV260" s="17"/>
      <c r="AW260" s="16"/>
      <c r="AX260" s="15"/>
      <c r="AY260" s="19"/>
      <c r="AZ260" s="15"/>
      <c r="BA260" s="18"/>
      <c r="BB260" s="17"/>
      <c r="BC260" s="17"/>
      <c r="BD260" s="17"/>
      <c r="BE260" s="6"/>
    </row>
    <row r="261" spans="1:57" x14ac:dyDescent="0.25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00"/>
      <c r="AB261" s="100"/>
      <c r="AC261" s="11"/>
      <c r="AD261" s="11"/>
      <c r="AE261" s="11"/>
      <c r="AF261" s="11"/>
      <c r="AG261" s="11"/>
      <c r="AH261" s="11"/>
      <c r="AI261" s="11"/>
      <c r="AJ261" s="11"/>
      <c r="AK261" s="11"/>
      <c r="AL261" s="52"/>
      <c r="AM261" s="53"/>
      <c r="AN261" s="53">
        <f t="shared" si="25"/>
        <v>9</v>
      </c>
      <c r="AO261" s="77">
        <f t="shared" si="24"/>
        <v>-10</v>
      </c>
      <c r="AP261" s="54">
        <f t="shared" si="21"/>
        <v>0</v>
      </c>
      <c r="AQ261" s="77">
        <f t="shared" si="22"/>
        <v>-10</v>
      </c>
      <c r="AR261" s="54">
        <f t="shared" si="23"/>
        <v>0.01</v>
      </c>
      <c r="AS261" s="15"/>
      <c r="AT261" s="15"/>
      <c r="AU261" s="16"/>
      <c r="AV261" s="17"/>
      <c r="AW261" s="16"/>
      <c r="AX261" s="15"/>
      <c r="AY261" s="19"/>
      <c r="AZ261" s="15"/>
      <c r="BA261" s="18"/>
      <c r="BB261" s="17"/>
      <c r="BC261" s="17"/>
      <c r="BD261" s="17"/>
      <c r="BE261" s="6"/>
    </row>
    <row r="262" spans="1:57" x14ac:dyDescent="0.25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00"/>
      <c r="AB262" s="100"/>
      <c r="AC262" s="11"/>
      <c r="AD262" s="11"/>
      <c r="AE262" s="11"/>
      <c r="AF262" s="11"/>
      <c r="AG262" s="11"/>
      <c r="AH262" s="11"/>
      <c r="AI262" s="11"/>
      <c r="AJ262" s="11"/>
      <c r="AK262" s="11"/>
      <c r="AL262" s="57"/>
      <c r="AM262" s="80"/>
      <c r="AN262" s="80">
        <f t="shared" si="25"/>
        <v>9</v>
      </c>
      <c r="AO262" s="81">
        <f t="shared" si="24"/>
        <v>-10</v>
      </c>
      <c r="AP262" s="82">
        <f t="shared" si="21"/>
        <v>0</v>
      </c>
      <c r="AQ262" s="81">
        <f t="shared" si="22"/>
        <v>-10</v>
      </c>
      <c r="AR262" s="82">
        <f t="shared" si="23"/>
        <v>0.01</v>
      </c>
      <c r="AS262" s="15"/>
      <c r="AT262" s="15"/>
      <c r="AU262" s="16"/>
      <c r="AV262" s="17"/>
      <c r="AW262" s="16"/>
      <c r="AX262" s="15"/>
      <c r="AY262" s="19"/>
      <c r="AZ262" s="15"/>
      <c r="BA262" s="18"/>
      <c r="BB262" s="17"/>
      <c r="BC262" s="17"/>
      <c r="BD262" s="17"/>
      <c r="BE262" s="6"/>
    </row>
    <row r="263" spans="1:57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00"/>
      <c r="AB263" s="100"/>
      <c r="AC263" s="11"/>
      <c r="AD263" s="11"/>
      <c r="AE263" s="11"/>
      <c r="AF263" s="11"/>
      <c r="AG263" s="11"/>
      <c r="AH263" s="11"/>
      <c r="AI263" s="11"/>
      <c r="AJ263" s="11"/>
      <c r="AK263" s="11"/>
      <c r="AL263" s="52"/>
      <c r="AM263" s="53"/>
      <c r="AN263" s="53">
        <f t="shared" si="25"/>
        <v>9</v>
      </c>
      <c r="AO263" s="77">
        <f t="shared" si="24"/>
        <v>-10</v>
      </c>
      <c r="AP263" s="54">
        <f t="shared" si="21"/>
        <v>0</v>
      </c>
      <c r="AQ263" s="77">
        <f t="shared" si="22"/>
        <v>-10</v>
      </c>
      <c r="AR263" s="54">
        <f t="shared" si="23"/>
        <v>0.01</v>
      </c>
      <c r="AS263" s="15"/>
      <c r="AT263" s="15"/>
      <c r="AU263" s="16"/>
      <c r="AV263" s="17"/>
      <c r="AW263" s="16"/>
      <c r="AX263" s="15"/>
      <c r="AY263" s="19"/>
      <c r="AZ263" s="15"/>
      <c r="BA263" s="18"/>
      <c r="BB263" s="17"/>
      <c r="BC263" s="17"/>
      <c r="BD263" s="17"/>
      <c r="BE263" s="6"/>
    </row>
    <row r="264" spans="1:57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00"/>
      <c r="AB264" s="100"/>
      <c r="AC264" s="11"/>
      <c r="AD264" s="11"/>
      <c r="AE264" s="11"/>
      <c r="AF264" s="11"/>
      <c r="AG264" s="11"/>
      <c r="AH264" s="11"/>
      <c r="AI264" s="11"/>
      <c r="AJ264" s="11"/>
      <c r="AK264" s="11"/>
      <c r="AL264" s="57"/>
      <c r="AM264" s="80"/>
      <c r="AN264" s="80">
        <f t="shared" si="25"/>
        <v>9</v>
      </c>
      <c r="AO264" s="81">
        <f t="shared" si="24"/>
        <v>-10</v>
      </c>
      <c r="AP264" s="82">
        <f t="shared" si="21"/>
        <v>0</v>
      </c>
      <c r="AQ264" s="81">
        <f t="shared" si="22"/>
        <v>-10</v>
      </c>
      <c r="AR264" s="82">
        <f t="shared" si="23"/>
        <v>0.01</v>
      </c>
      <c r="AS264" s="15"/>
      <c r="AT264" s="15"/>
      <c r="AU264" s="16"/>
      <c r="AV264" s="17"/>
      <c r="AW264" s="16"/>
      <c r="AX264" s="15"/>
      <c r="AY264" s="19"/>
      <c r="AZ264" s="15"/>
      <c r="BA264" s="18"/>
      <c r="BB264" s="17"/>
      <c r="BC264" s="17"/>
      <c r="BD264" s="17"/>
      <c r="BE264" s="6"/>
    </row>
    <row r="265" spans="1:57" x14ac:dyDescent="0.25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00"/>
      <c r="AB265" s="100"/>
      <c r="AC265" s="11"/>
      <c r="AD265" s="11"/>
      <c r="AE265" s="11"/>
      <c r="AF265" s="11"/>
      <c r="AG265" s="11"/>
      <c r="AH265" s="11"/>
      <c r="AI265" s="11"/>
      <c r="AJ265" s="11"/>
      <c r="AK265" s="11"/>
      <c r="AL265" s="52"/>
      <c r="AM265" s="53"/>
      <c r="AN265" s="53">
        <f t="shared" si="25"/>
        <v>9</v>
      </c>
      <c r="AO265" s="77">
        <f t="shared" si="24"/>
        <v>-10</v>
      </c>
      <c r="AP265" s="54">
        <f t="shared" si="21"/>
        <v>0</v>
      </c>
      <c r="AQ265" s="77">
        <f t="shared" si="22"/>
        <v>-10</v>
      </c>
      <c r="AR265" s="54">
        <f t="shared" si="23"/>
        <v>0.01</v>
      </c>
      <c r="AS265" s="15"/>
      <c r="AT265" s="15"/>
      <c r="AU265" s="16"/>
      <c r="AV265" s="17"/>
      <c r="AW265" s="16"/>
      <c r="AX265" s="15"/>
      <c r="AY265" s="19"/>
      <c r="AZ265" s="15"/>
      <c r="BA265" s="18"/>
      <c r="BB265" s="17"/>
      <c r="BC265" s="17"/>
      <c r="BD265" s="17"/>
      <c r="BE265" s="6"/>
    </row>
    <row r="266" spans="1:57" x14ac:dyDescent="0.25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00"/>
      <c r="AB266" s="100"/>
      <c r="AC266" s="11"/>
      <c r="AD266" s="11"/>
      <c r="AE266" s="11"/>
      <c r="AF266" s="11"/>
      <c r="AG266" s="11"/>
      <c r="AH266" s="11"/>
      <c r="AI266" s="11"/>
      <c r="AJ266" s="11"/>
      <c r="AK266" s="11"/>
      <c r="AL266" s="57"/>
      <c r="AM266" s="80"/>
      <c r="AN266" s="80">
        <f t="shared" si="25"/>
        <v>9</v>
      </c>
      <c r="AO266" s="81">
        <f t="shared" si="24"/>
        <v>-10</v>
      </c>
      <c r="AP266" s="82">
        <f t="shared" ref="AP266:AP329" si="26">AR266*(1-(AO266/AQ266))^2</f>
        <v>0</v>
      </c>
      <c r="AQ266" s="81">
        <f t="shared" ref="AQ266:AQ329" si="27">AQ265</f>
        <v>-10</v>
      </c>
      <c r="AR266" s="82">
        <f t="shared" ref="AR266:AR329" si="28">AR265</f>
        <v>0.01</v>
      </c>
      <c r="AS266" s="15"/>
      <c r="AT266" s="15"/>
      <c r="AU266" s="16"/>
      <c r="AV266" s="17"/>
      <c r="AW266" s="16"/>
      <c r="AX266" s="15"/>
      <c r="AY266" s="19"/>
      <c r="AZ266" s="15"/>
      <c r="BA266" s="18"/>
      <c r="BB266" s="17"/>
      <c r="BC266" s="17"/>
      <c r="BD266" s="17"/>
      <c r="BE266" s="6"/>
    </row>
    <row r="267" spans="1:57" x14ac:dyDescent="0.25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00"/>
      <c r="AB267" s="100"/>
      <c r="AC267" s="11"/>
      <c r="AD267" s="11"/>
      <c r="AE267" s="11"/>
      <c r="AF267" s="11"/>
      <c r="AG267" s="11"/>
      <c r="AH267" s="11"/>
      <c r="AI267" s="11"/>
      <c r="AJ267" s="11"/>
      <c r="AK267" s="11"/>
      <c r="AL267" s="52"/>
      <c r="AM267" s="53"/>
      <c r="AN267" s="53">
        <f t="shared" si="25"/>
        <v>9</v>
      </c>
      <c r="AO267" s="77">
        <f t="shared" si="24"/>
        <v>-10</v>
      </c>
      <c r="AP267" s="54">
        <f t="shared" si="26"/>
        <v>0</v>
      </c>
      <c r="AQ267" s="77">
        <f t="shared" si="27"/>
        <v>-10</v>
      </c>
      <c r="AR267" s="54">
        <f t="shared" si="28"/>
        <v>0.01</v>
      </c>
      <c r="AS267" s="15"/>
      <c r="AT267" s="15"/>
      <c r="AU267" s="16"/>
      <c r="AV267" s="17"/>
      <c r="AW267" s="16"/>
      <c r="AX267" s="15"/>
      <c r="AY267" s="19"/>
      <c r="AZ267" s="15"/>
      <c r="BA267" s="18"/>
      <c r="BB267" s="17"/>
      <c r="BC267" s="17"/>
      <c r="BD267" s="17"/>
      <c r="BE267" s="6"/>
    </row>
    <row r="268" spans="1:57" x14ac:dyDescent="0.25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00"/>
      <c r="AB268" s="100"/>
      <c r="AC268" s="11"/>
      <c r="AD268" s="11"/>
      <c r="AE268" s="11"/>
      <c r="AF268" s="11"/>
      <c r="AG268" s="11"/>
      <c r="AH268" s="11"/>
      <c r="AI268" s="11"/>
      <c r="AJ268" s="11"/>
      <c r="AK268" s="11"/>
      <c r="AL268" s="57"/>
      <c r="AM268" s="80"/>
      <c r="AN268" s="80">
        <f t="shared" si="25"/>
        <v>9</v>
      </c>
      <c r="AO268" s="81">
        <f t="shared" si="24"/>
        <v>-10</v>
      </c>
      <c r="AP268" s="82">
        <f t="shared" si="26"/>
        <v>0</v>
      </c>
      <c r="AQ268" s="81">
        <f t="shared" si="27"/>
        <v>-10</v>
      </c>
      <c r="AR268" s="82">
        <f t="shared" si="28"/>
        <v>0.01</v>
      </c>
      <c r="AS268" s="15"/>
      <c r="AT268" s="15"/>
      <c r="AU268" s="16"/>
      <c r="AV268" s="17"/>
      <c r="AW268" s="16"/>
      <c r="AX268" s="15"/>
      <c r="AY268" s="19"/>
      <c r="AZ268" s="15"/>
      <c r="BA268" s="18"/>
      <c r="BB268" s="17"/>
      <c r="BC268" s="17"/>
      <c r="BD268" s="17"/>
      <c r="BE268" s="6"/>
    </row>
    <row r="269" spans="1:57" x14ac:dyDescent="0.25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00"/>
      <c r="AB269" s="100"/>
      <c r="AC269" s="11"/>
      <c r="AD269" s="11"/>
      <c r="AE269" s="11"/>
      <c r="AF269" s="11"/>
      <c r="AG269" s="11"/>
      <c r="AH269" s="11"/>
      <c r="AI269" s="11"/>
      <c r="AJ269" s="11"/>
      <c r="AK269" s="11"/>
      <c r="AL269" s="52"/>
      <c r="AM269" s="53"/>
      <c r="AN269" s="53">
        <f t="shared" si="25"/>
        <v>9</v>
      </c>
      <c r="AO269" s="77">
        <f t="shared" si="24"/>
        <v>-10</v>
      </c>
      <c r="AP269" s="54">
        <f t="shared" si="26"/>
        <v>0</v>
      </c>
      <c r="AQ269" s="77">
        <f t="shared" si="27"/>
        <v>-10</v>
      </c>
      <c r="AR269" s="54">
        <f t="shared" si="28"/>
        <v>0.01</v>
      </c>
      <c r="AS269" s="15"/>
      <c r="AT269" s="15"/>
      <c r="AU269" s="16"/>
      <c r="AV269" s="17"/>
      <c r="AW269" s="16"/>
      <c r="AX269" s="15"/>
      <c r="AY269" s="19"/>
      <c r="AZ269" s="15"/>
      <c r="BA269" s="18"/>
      <c r="BB269" s="17"/>
      <c r="BC269" s="17"/>
      <c r="BD269" s="17"/>
      <c r="BE269" s="6"/>
    </row>
    <row r="270" spans="1:57" x14ac:dyDescent="0.25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00"/>
      <c r="AB270" s="100"/>
      <c r="AC270" s="11"/>
      <c r="AD270" s="11"/>
      <c r="AE270" s="11"/>
      <c r="AF270" s="11"/>
      <c r="AG270" s="11"/>
      <c r="AH270" s="11"/>
      <c r="AI270" s="11"/>
      <c r="AJ270" s="11"/>
      <c r="AK270" s="11"/>
      <c r="AL270" s="57"/>
      <c r="AM270" s="80"/>
      <c r="AN270" s="80">
        <f t="shared" si="25"/>
        <v>9</v>
      </c>
      <c r="AO270" s="81">
        <f t="shared" si="24"/>
        <v>-10</v>
      </c>
      <c r="AP270" s="82">
        <f t="shared" si="26"/>
        <v>0</v>
      </c>
      <c r="AQ270" s="81">
        <f t="shared" si="27"/>
        <v>-10</v>
      </c>
      <c r="AR270" s="82">
        <f t="shared" si="28"/>
        <v>0.01</v>
      </c>
      <c r="AS270" s="15"/>
      <c r="AT270" s="15"/>
      <c r="AU270" s="16"/>
      <c r="AV270" s="17"/>
      <c r="AW270" s="16"/>
      <c r="AX270" s="15"/>
      <c r="AY270" s="19"/>
      <c r="AZ270" s="15"/>
      <c r="BA270" s="18"/>
      <c r="BB270" s="17"/>
      <c r="BC270" s="17"/>
      <c r="BD270" s="17"/>
      <c r="BE270" s="6"/>
    </row>
    <row r="271" spans="1:57" x14ac:dyDescent="0.25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00"/>
      <c r="AB271" s="100"/>
      <c r="AC271" s="11"/>
      <c r="AD271" s="11"/>
      <c r="AE271" s="11"/>
      <c r="AF271" s="11"/>
      <c r="AG271" s="11"/>
      <c r="AH271" s="11"/>
      <c r="AI271" s="11"/>
      <c r="AJ271" s="11"/>
      <c r="AK271" s="11"/>
      <c r="AL271" s="52"/>
      <c r="AM271" s="53"/>
      <c r="AN271" s="53">
        <f t="shared" si="25"/>
        <v>9</v>
      </c>
      <c r="AO271" s="77">
        <f t="shared" si="24"/>
        <v>-10</v>
      </c>
      <c r="AP271" s="54">
        <f t="shared" si="26"/>
        <v>0</v>
      </c>
      <c r="AQ271" s="77">
        <f t="shared" si="27"/>
        <v>-10</v>
      </c>
      <c r="AR271" s="54">
        <f t="shared" si="28"/>
        <v>0.01</v>
      </c>
      <c r="AS271" s="15"/>
      <c r="AT271" s="15"/>
      <c r="AU271" s="16"/>
      <c r="AV271" s="17"/>
      <c r="AW271" s="16"/>
      <c r="AX271" s="15"/>
      <c r="AY271" s="19"/>
      <c r="AZ271" s="15"/>
      <c r="BA271" s="18"/>
      <c r="BB271" s="17"/>
      <c r="BC271" s="17"/>
      <c r="BD271" s="17"/>
      <c r="BE271" s="6"/>
    </row>
    <row r="272" spans="1:57" x14ac:dyDescent="0.25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00"/>
      <c r="AB272" s="100"/>
      <c r="AC272" s="11"/>
      <c r="AD272" s="11"/>
      <c r="AE272" s="11"/>
      <c r="AF272" s="11"/>
      <c r="AG272" s="11"/>
      <c r="AH272" s="11"/>
      <c r="AI272" s="11"/>
      <c r="AJ272" s="11"/>
      <c r="AK272" s="11"/>
      <c r="AL272" s="57"/>
      <c r="AM272" s="80"/>
      <c r="AN272" s="80">
        <f t="shared" si="25"/>
        <v>9</v>
      </c>
      <c r="AO272" s="81">
        <f t="shared" si="24"/>
        <v>-10</v>
      </c>
      <c r="AP272" s="82">
        <f t="shared" si="26"/>
        <v>0</v>
      </c>
      <c r="AQ272" s="81">
        <f t="shared" si="27"/>
        <v>-10</v>
      </c>
      <c r="AR272" s="82">
        <f t="shared" si="28"/>
        <v>0.01</v>
      </c>
      <c r="AS272" s="15"/>
      <c r="AT272" s="15"/>
      <c r="AU272" s="16"/>
      <c r="AV272" s="17"/>
      <c r="AW272" s="16"/>
      <c r="AX272" s="15"/>
      <c r="AY272" s="19"/>
      <c r="AZ272" s="15"/>
      <c r="BA272" s="18"/>
      <c r="BB272" s="17"/>
      <c r="BC272" s="17"/>
      <c r="BD272" s="17"/>
      <c r="BE272" s="6"/>
    </row>
    <row r="273" spans="1:57" x14ac:dyDescent="0.25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00"/>
      <c r="AB273" s="100"/>
      <c r="AC273" s="11"/>
      <c r="AD273" s="11"/>
      <c r="AE273" s="11"/>
      <c r="AF273" s="11"/>
      <c r="AG273" s="11"/>
      <c r="AH273" s="11"/>
      <c r="AI273" s="11"/>
      <c r="AJ273" s="11"/>
      <c r="AK273" s="11"/>
      <c r="AL273" s="52"/>
      <c r="AM273" s="53"/>
      <c r="AN273" s="53">
        <f t="shared" si="25"/>
        <v>9</v>
      </c>
      <c r="AO273" s="77">
        <f t="shared" si="24"/>
        <v>-10</v>
      </c>
      <c r="AP273" s="54">
        <f t="shared" si="26"/>
        <v>0</v>
      </c>
      <c r="AQ273" s="77">
        <f t="shared" si="27"/>
        <v>-10</v>
      </c>
      <c r="AR273" s="54">
        <f t="shared" si="28"/>
        <v>0.01</v>
      </c>
      <c r="AS273" s="15"/>
      <c r="AT273" s="15"/>
      <c r="AU273" s="16"/>
      <c r="AV273" s="17"/>
      <c r="AW273" s="16"/>
      <c r="AX273" s="15"/>
      <c r="AY273" s="19"/>
      <c r="AZ273" s="15"/>
      <c r="BA273" s="18"/>
      <c r="BB273" s="17"/>
      <c r="BC273" s="17"/>
      <c r="BD273" s="17"/>
      <c r="BE273" s="6"/>
    </row>
    <row r="274" spans="1:57" x14ac:dyDescent="0.25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00"/>
      <c r="AB274" s="100"/>
      <c r="AC274" s="11"/>
      <c r="AD274" s="11"/>
      <c r="AE274" s="11"/>
      <c r="AF274" s="11"/>
      <c r="AG274" s="11"/>
      <c r="AH274" s="11"/>
      <c r="AI274" s="11"/>
      <c r="AJ274" s="11"/>
      <c r="AK274" s="11"/>
      <c r="AL274" s="57"/>
      <c r="AM274" s="80"/>
      <c r="AN274" s="80">
        <f t="shared" si="25"/>
        <v>9</v>
      </c>
      <c r="AO274" s="81">
        <f t="shared" si="24"/>
        <v>-10</v>
      </c>
      <c r="AP274" s="82">
        <f t="shared" si="26"/>
        <v>0</v>
      </c>
      <c r="AQ274" s="81">
        <f t="shared" si="27"/>
        <v>-10</v>
      </c>
      <c r="AR274" s="82">
        <f t="shared" si="28"/>
        <v>0.01</v>
      </c>
      <c r="AS274" s="15"/>
      <c r="AT274" s="15"/>
      <c r="AU274" s="16"/>
      <c r="AV274" s="17"/>
      <c r="AW274" s="16"/>
      <c r="AX274" s="15"/>
      <c r="AY274" s="19"/>
      <c r="AZ274" s="15"/>
      <c r="BA274" s="18"/>
      <c r="BB274" s="17"/>
      <c r="BC274" s="17"/>
      <c r="BD274" s="17"/>
      <c r="BE274" s="6"/>
    </row>
    <row r="275" spans="1:57" x14ac:dyDescent="0.25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00"/>
      <c r="AB275" s="100"/>
      <c r="AC275" s="11"/>
      <c r="AD275" s="11"/>
      <c r="AE275" s="11"/>
      <c r="AF275" s="11"/>
      <c r="AG275" s="11"/>
      <c r="AH275" s="11"/>
      <c r="AI275" s="11"/>
      <c r="AJ275" s="11"/>
      <c r="AK275" s="11"/>
      <c r="AL275" s="52"/>
      <c r="AM275" s="53"/>
      <c r="AN275" s="53">
        <f t="shared" si="25"/>
        <v>9</v>
      </c>
      <c r="AO275" s="77">
        <f t="shared" si="24"/>
        <v>-10</v>
      </c>
      <c r="AP275" s="54">
        <f t="shared" si="26"/>
        <v>0</v>
      </c>
      <c r="AQ275" s="77">
        <f t="shared" si="27"/>
        <v>-10</v>
      </c>
      <c r="AR275" s="54">
        <f t="shared" si="28"/>
        <v>0.01</v>
      </c>
      <c r="AS275" s="15"/>
      <c r="AT275" s="15"/>
      <c r="AU275" s="16"/>
      <c r="AV275" s="17"/>
      <c r="AW275" s="16"/>
      <c r="AX275" s="15"/>
      <c r="AY275" s="19"/>
      <c r="AZ275" s="15"/>
      <c r="BA275" s="18"/>
      <c r="BB275" s="17"/>
      <c r="BC275" s="17"/>
      <c r="BD275" s="17"/>
      <c r="BE275" s="6"/>
    </row>
    <row r="276" spans="1:57" x14ac:dyDescent="0.25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00"/>
      <c r="AB276" s="100"/>
      <c r="AC276" s="11"/>
      <c r="AD276" s="11"/>
      <c r="AE276" s="11"/>
      <c r="AF276" s="11"/>
      <c r="AG276" s="11"/>
      <c r="AH276" s="11"/>
      <c r="AI276" s="11"/>
      <c r="AJ276" s="11"/>
      <c r="AK276" s="11"/>
      <c r="AL276" s="57"/>
      <c r="AM276" s="80"/>
      <c r="AN276" s="80">
        <f t="shared" si="25"/>
        <v>9</v>
      </c>
      <c r="AO276" s="81">
        <f t="shared" si="24"/>
        <v>-10</v>
      </c>
      <c r="AP276" s="82">
        <f t="shared" si="26"/>
        <v>0</v>
      </c>
      <c r="AQ276" s="81">
        <f t="shared" si="27"/>
        <v>-10</v>
      </c>
      <c r="AR276" s="82">
        <f t="shared" si="28"/>
        <v>0.01</v>
      </c>
      <c r="AS276" s="15"/>
      <c r="AT276" s="15"/>
      <c r="AU276" s="16"/>
      <c r="AV276" s="17"/>
      <c r="AW276" s="16"/>
      <c r="AX276" s="15"/>
      <c r="AY276" s="19"/>
      <c r="AZ276" s="15"/>
      <c r="BA276" s="18"/>
      <c r="BB276" s="17"/>
      <c r="BC276" s="17"/>
      <c r="BD276" s="17"/>
      <c r="BE276" s="6"/>
    </row>
    <row r="277" spans="1:57" x14ac:dyDescent="0.25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00"/>
      <c r="AB277" s="100"/>
      <c r="AC277" s="11"/>
      <c r="AD277" s="11"/>
      <c r="AE277" s="11"/>
      <c r="AF277" s="11"/>
      <c r="AG277" s="11"/>
      <c r="AH277" s="11"/>
      <c r="AI277" s="11"/>
      <c r="AJ277" s="11"/>
      <c r="AK277" s="11"/>
      <c r="AL277" s="52"/>
      <c r="AM277" s="53"/>
      <c r="AN277" s="53">
        <f t="shared" si="25"/>
        <v>9</v>
      </c>
      <c r="AO277" s="77">
        <f t="shared" si="24"/>
        <v>-10</v>
      </c>
      <c r="AP277" s="54">
        <f t="shared" si="26"/>
        <v>0</v>
      </c>
      <c r="AQ277" s="77">
        <f t="shared" si="27"/>
        <v>-10</v>
      </c>
      <c r="AR277" s="54">
        <f t="shared" si="28"/>
        <v>0.01</v>
      </c>
      <c r="AS277" s="15"/>
      <c r="AT277" s="15"/>
      <c r="AU277" s="16"/>
      <c r="AV277" s="17"/>
      <c r="AW277" s="16"/>
      <c r="AX277" s="15"/>
      <c r="AY277" s="19"/>
      <c r="AZ277" s="15"/>
      <c r="BA277" s="18"/>
      <c r="BB277" s="17"/>
      <c r="BC277" s="17"/>
      <c r="BD277" s="17"/>
      <c r="BE277" s="6"/>
    </row>
    <row r="278" spans="1:57" x14ac:dyDescent="0.25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00"/>
      <c r="AB278" s="100"/>
      <c r="AC278" s="11"/>
      <c r="AD278" s="11"/>
      <c r="AE278" s="11"/>
      <c r="AF278" s="11"/>
      <c r="AG278" s="11"/>
      <c r="AH278" s="11"/>
      <c r="AI278" s="11"/>
      <c r="AJ278" s="11"/>
      <c r="AK278" s="11"/>
      <c r="AL278" s="57"/>
      <c r="AM278" s="80"/>
      <c r="AN278" s="80">
        <f t="shared" si="25"/>
        <v>9</v>
      </c>
      <c r="AO278" s="81">
        <f t="shared" si="24"/>
        <v>-10</v>
      </c>
      <c r="AP278" s="82">
        <f t="shared" si="26"/>
        <v>0</v>
      </c>
      <c r="AQ278" s="81">
        <f t="shared" si="27"/>
        <v>-10</v>
      </c>
      <c r="AR278" s="82">
        <f t="shared" si="28"/>
        <v>0.01</v>
      </c>
      <c r="AS278" s="15"/>
      <c r="AT278" s="15"/>
      <c r="AU278" s="16"/>
      <c r="AV278" s="17"/>
      <c r="AW278" s="16"/>
      <c r="AX278" s="15"/>
      <c r="AY278" s="19"/>
      <c r="AZ278" s="15"/>
      <c r="BA278" s="18"/>
      <c r="BB278" s="17"/>
      <c r="BC278" s="17"/>
      <c r="BD278" s="17"/>
      <c r="BE278" s="6"/>
    </row>
    <row r="279" spans="1:57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00"/>
      <c r="AB279" s="100"/>
      <c r="AC279" s="11"/>
      <c r="AD279" s="11"/>
      <c r="AE279" s="11"/>
      <c r="AF279" s="11"/>
      <c r="AG279" s="11"/>
      <c r="AH279" s="11"/>
      <c r="AI279" s="11"/>
      <c r="AJ279" s="11"/>
      <c r="AK279" s="11"/>
      <c r="AL279" s="52"/>
      <c r="AM279" s="53"/>
      <c r="AN279" s="53">
        <f t="shared" si="25"/>
        <v>9</v>
      </c>
      <c r="AO279" s="77">
        <f t="shared" si="24"/>
        <v>-10</v>
      </c>
      <c r="AP279" s="54">
        <f t="shared" si="26"/>
        <v>0</v>
      </c>
      <c r="AQ279" s="77">
        <f t="shared" si="27"/>
        <v>-10</v>
      </c>
      <c r="AR279" s="54">
        <f t="shared" si="28"/>
        <v>0.01</v>
      </c>
      <c r="AS279" s="15"/>
      <c r="AT279" s="15"/>
      <c r="AU279" s="16"/>
      <c r="AV279" s="17"/>
      <c r="AW279" s="16"/>
      <c r="AX279" s="15"/>
      <c r="AY279" s="19"/>
      <c r="AZ279" s="15"/>
      <c r="BA279" s="18"/>
      <c r="BB279" s="17"/>
      <c r="BC279" s="17"/>
      <c r="BD279" s="17"/>
      <c r="BE279" s="6"/>
    </row>
    <row r="280" spans="1:57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00"/>
      <c r="AB280" s="100"/>
      <c r="AC280" s="11"/>
      <c r="AD280" s="11"/>
      <c r="AE280" s="11"/>
      <c r="AF280" s="11"/>
      <c r="AG280" s="11"/>
      <c r="AH280" s="11"/>
      <c r="AI280" s="11"/>
      <c r="AJ280" s="11"/>
      <c r="AK280" s="11"/>
      <c r="AL280" s="57"/>
      <c r="AM280" s="80"/>
      <c r="AN280" s="80">
        <f t="shared" si="25"/>
        <v>9</v>
      </c>
      <c r="AO280" s="81">
        <f t="shared" si="24"/>
        <v>-10</v>
      </c>
      <c r="AP280" s="82">
        <f t="shared" si="26"/>
        <v>0</v>
      </c>
      <c r="AQ280" s="81">
        <f t="shared" si="27"/>
        <v>-10</v>
      </c>
      <c r="AR280" s="82">
        <f t="shared" si="28"/>
        <v>0.01</v>
      </c>
      <c r="AS280" s="15"/>
      <c r="AT280" s="15"/>
      <c r="AU280" s="16"/>
      <c r="AV280" s="17"/>
      <c r="AW280" s="16"/>
      <c r="AX280" s="15"/>
      <c r="AY280" s="19"/>
      <c r="AZ280" s="15"/>
      <c r="BA280" s="18"/>
      <c r="BB280" s="17"/>
      <c r="BC280" s="17"/>
      <c r="BD280" s="17"/>
      <c r="BE280" s="6"/>
    </row>
    <row r="281" spans="1:57" x14ac:dyDescent="0.25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00"/>
      <c r="AB281" s="100"/>
      <c r="AC281" s="11"/>
      <c r="AD281" s="11"/>
      <c r="AE281" s="11"/>
      <c r="AF281" s="11"/>
      <c r="AG281" s="11"/>
      <c r="AH281" s="11"/>
      <c r="AI281" s="11"/>
      <c r="AJ281" s="11"/>
      <c r="AK281" s="11"/>
      <c r="AL281" s="52"/>
      <c r="AM281" s="53"/>
      <c r="AN281" s="53">
        <f t="shared" si="25"/>
        <v>9</v>
      </c>
      <c r="AO281" s="77">
        <f t="shared" si="24"/>
        <v>-10</v>
      </c>
      <c r="AP281" s="54">
        <f t="shared" si="26"/>
        <v>0</v>
      </c>
      <c r="AQ281" s="77">
        <f t="shared" si="27"/>
        <v>-10</v>
      </c>
      <c r="AR281" s="54">
        <f t="shared" si="28"/>
        <v>0.01</v>
      </c>
      <c r="AS281" s="15"/>
      <c r="AT281" s="15"/>
      <c r="AU281" s="16"/>
      <c r="AV281" s="17"/>
      <c r="AW281" s="16"/>
      <c r="AX281" s="15"/>
      <c r="AY281" s="19"/>
      <c r="AZ281" s="15"/>
      <c r="BA281" s="18"/>
      <c r="BB281" s="17"/>
      <c r="BC281" s="17"/>
      <c r="BD281" s="17"/>
      <c r="BE281" s="6"/>
    </row>
    <row r="282" spans="1:57" x14ac:dyDescent="0.25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00"/>
      <c r="AB282" s="100"/>
      <c r="AC282" s="11"/>
      <c r="AD282" s="11"/>
      <c r="AE282" s="11"/>
      <c r="AF282" s="11"/>
      <c r="AG282" s="11"/>
      <c r="AH282" s="11"/>
      <c r="AI282" s="11"/>
      <c r="AJ282" s="11"/>
      <c r="AK282" s="11"/>
      <c r="AL282" s="57"/>
      <c r="AM282" s="80"/>
      <c r="AN282" s="80">
        <f t="shared" si="25"/>
        <v>9</v>
      </c>
      <c r="AO282" s="81">
        <f t="shared" si="24"/>
        <v>-10</v>
      </c>
      <c r="AP282" s="82">
        <f t="shared" si="26"/>
        <v>0</v>
      </c>
      <c r="AQ282" s="81">
        <f t="shared" si="27"/>
        <v>-10</v>
      </c>
      <c r="AR282" s="82">
        <f t="shared" si="28"/>
        <v>0.01</v>
      </c>
      <c r="AS282" s="15"/>
      <c r="AT282" s="15"/>
      <c r="AU282" s="16"/>
      <c r="AV282" s="17"/>
      <c r="AW282" s="16"/>
      <c r="AX282" s="15"/>
      <c r="AY282" s="19"/>
      <c r="AZ282" s="15"/>
      <c r="BA282" s="18"/>
      <c r="BB282" s="17"/>
      <c r="BC282" s="17"/>
      <c r="BD282" s="17"/>
      <c r="BE282" s="6"/>
    </row>
    <row r="283" spans="1:57" x14ac:dyDescent="0.25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00"/>
      <c r="AB283" s="100"/>
      <c r="AC283" s="11"/>
      <c r="AD283" s="11"/>
      <c r="AE283" s="11"/>
      <c r="AF283" s="11"/>
      <c r="AG283" s="11"/>
      <c r="AH283" s="11"/>
      <c r="AI283" s="11"/>
      <c r="AJ283" s="11"/>
      <c r="AK283" s="11"/>
      <c r="AL283" s="52"/>
      <c r="AM283" s="53"/>
      <c r="AN283" s="53">
        <f t="shared" si="25"/>
        <v>9</v>
      </c>
      <c r="AO283" s="77">
        <f t="shared" si="24"/>
        <v>-10</v>
      </c>
      <c r="AP283" s="54">
        <f t="shared" si="26"/>
        <v>0</v>
      </c>
      <c r="AQ283" s="77">
        <f t="shared" si="27"/>
        <v>-10</v>
      </c>
      <c r="AR283" s="54">
        <f t="shared" si="28"/>
        <v>0.01</v>
      </c>
      <c r="AS283" s="15"/>
      <c r="AT283" s="15"/>
      <c r="AU283" s="16"/>
      <c r="AV283" s="17"/>
      <c r="AW283" s="16"/>
      <c r="AX283" s="15"/>
      <c r="AY283" s="19"/>
      <c r="AZ283" s="15"/>
      <c r="BA283" s="18"/>
      <c r="BB283" s="17"/>
      <c r="BC283" s="17"/>
      <c r="BD283" s="17"/>
      <c r="BE283" s="6"/>
    </row>
    <row r="284" spans="1:57" x14ac:dyDescent="0.25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00"/>
      <c r="AB284" s="100"/>
      <c r="AC284" s="11"/>
      <c r="AD284" s="11"/>
      <c r="AE284" s="11"/>
      <c r="AF284" s="11"/>
      <c r="AG284" s="11"/>
      <c r="AH284" s="11"/>
      <c r="AI284" s="11"/>
      <c r="AJ284" s="11"/>
      <c r="AK284" s="11"/>
      <c r="AL284" s="57"/>
      <c r="AM284" s="80"/>
      <c r="AN284" s="80">
        <f t="shared" si="25"/>
        <v>9</v>
      </c>
      <c r="AO284" s="81">
        <f t="shared" si="24"/>
        <v>-10</v>
      </c>
      <c r="AP284" s="82">
        <f t="shared" si="26"/>
        <v>0</v>
      </c>
      <c r="AQ284" s="81">
        <f t="shared" si="27"/>
        <v>-10</v>
      </c>
      <c r="AR284" s="82">
        <f t="shared" si="28"/>
        <v>0.01</v>
      </c>
      <c r="AS284" s="15"/>
      <c r="AT284" s="15"/>
      <c r="AU284" s="16"/>
      <c r="AV284" s="17"/>
      <c r="AW284" s="16"/>
      <c r="AX284" s="15"/>
      <c r="AY284" s="19"/>
      <c r="AZ284" s="15"/>
      <c r="BA284" s="18"/>
      <c r="BB284" s="17"/>
      <c r="BC284" s="17"/>
      <c r="BD284" s="17"/>
      <c r="BE284" s="6"/>
    </row>
    <row r="285" spans="1:57" x14ac:dyDescent="0.25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00"/>
      <c r="AB285" s="100"/>
      <c r="AC285" s="11"/>
      <c r="AD285" s="11"/>
      <c r="AE285" s="11"/>
      <c r="AF285" s="11"/>
      <c r="AG285" s="11"/>
      <c r="AH285" s="11"/>
      <c r="AI285" s="11"/>
      <c r="AJ285" s="11"/>
      <c r="AK285" s="11"/>
      <c r="AL285" s="52"/>
      <c r="AM285" s="53"/>
      <c r="AN285" s="53">
        <f t="shared" si="25"/>
        <v>9</v>
      </c>
      <c r="AO285" s="77">
        <f t="shared" si="24"/>
        <v>-10</v>
      </c>
      <c r="AP285" s="54">
        <f t="shared" si="26"/>
        <v>0</v>
      </c>
      <c r="AQ285" s="77">
        <f t="shared" si="27"/>
        <v>-10</v>
      </c>
      <c r="AR285" s="54">
        <f t="shared" si="28"/>
        <v>0.01</v>
      </c>
      <c r="AS285" s="15"/>
      <c r="AT285" s="15"/>
      <c r="AU285" s="16"/>
      <c r="AV285" s="17"/>
      <c r="AW285" s="16"/>
      <c r="AX285" s="15"/>
      <c r="AY285" s="19"/>
      <c r="AZ285" s="15"/>
      <c r="BA285" s="18"/>
      <c r="BB285" s="17"/>
      <c r="BC285" s="17"/>
      <c r="BD285" s="17"/>
      <c r="BE285" s="6"/>
    </row>
    <row r="286" spans="1:57" x14ac:dyDescent="0.25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00"/>
      <c r="AB286" s="100"/>
      <c r="AC286" s="11"/>
      <c r="AD286" s="11"/>
      <c r="AE286" s="11"/>
      <c r="AF286" s="11"/>
      <c r="AG286" s="11"/>
      <c r="AH286" s="11"/>
      <c r="AI286" s="11"/>
      <c r="AJ286" s="11"/>
      <c r="AK286" s="11"/>
      <c r="AL286" s="57"/>
      <c r="AM286" s="80"/>
      <c r="AN286" s="80">
        <f t="shared" si="25"/>
        <v>9</v>
      </c>
      <c r="AO286" s="81">
        <f t="shared" si="24"/>
        <v>-10</v>
      </c>
      <c r="AP286" s="82">
        <f t="shared" si="26"/>
        <v>0</v>
      </c>
      <c r="AQ286" s="81">
        <f t="shared" si="27"/>
        <v>-10</v>
      </c>
      <c r="AR286" s="82">
        <f t="shared" si="28"/>
        <v>0.01</v>
      </c>
      <c r="AS286" s="15"/>
      <c r="AT286" s="15"/>
      <c r="AU286" s="16"/>
      <c r="AV286" s="17"/>
      <c r="AW286" s="16"/>
      <c r="AX286" s="15"/>
      <c r="AY286" s="19"/>
      <c r="AZ286" s="15"/>
      <c r="BA286" s="18"/>
      <c r="BB286" s="17"/>
      <c r="BC286" s="17"/>
      <c r="BD286" s="17"/>
      <c r="BE286" s="6"/>
    </row>
    <row r="287" spans="1:57" x14ac:dyDescent="0.25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00"/>
      <c r="AB287" s="100"/>
      <c r="AC287" s="11"/>
      <c r="AD287" s="11"/>
      <c r="AE287" s="11"/>
      <c r="AF287" s="11"/>
      <c r="AG287" s="11"/>
      <c r="AH287" s="11"/>
      <c r="AI287" s="11"/>
      <c r="AJ287" s="11"/>
      <c r="AK287" s="11"/>
      <c r="AL287" s="52"/>
      <c r="AM287" s="53"/>
      <c r="AN287" s="53">
        <f t="shared" si="25"/>
        <v>9</v>
      </c>
      <c r="AO287" s="77">
        <f t="shared" si="24"/>
        <v>-10</v>
      </c>
      <c r="AP287" s="54">
        <f t="shared" si="26"/>
        <v>0</v>
      </c>
      <c r="AQ287" s="77">
        <f t="shared" si="27"/>
        <v>-10</v>
      </c>
      <c r="AR287" s="54">
        <f t="shared" si="28"/>
        <v>0.01</v>
      </c>
      <c r="AS287" s="15"/>
      <c r="AT287" s="15"/>
      <c r="AU287" s="16"/>
      <c r="AV287" s="17"/>
      <c r="AW287" s="16"/>
      <c r="AX287" s="15"/>
      <c r="AY287" s="19"/>
      <c r="AZ287" s="15"/>
      <c r="BA287" s="18"/>
      <c r="BB287" s="17"/>
      <c r="BC287" s="17"/>
      <c r="BD287" s="17"/>
      <c r="BE287" s="6"/>
    </row>
    <row r="288" spans="1:57" x14ac:dyDescent="0.25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00"/>
      <c r="AB288" s="100"/>
      <c r="AC288" s="11"/>
      <c r="AD288" s="11"/>
      <c r="AE288" s="11"/>
      <c r="AF288" s="11"/>
      <c r="AG288" s="11"/>
      <c r="AH288" s="11"/>
      <c r="AI288" s="11"/>
      <c r="AJ288" s="11"/>
      <c r="AK288" s="11"/>
      <c r="AL288" s="57"/>
      <c r="AM288" s="80"/>
      <c r="AN288" s="80">
        <f t="shared" si="25"/>
        <v>9</v>
      </c>
      <c r="AO288" s="81">
        <f t="shared" si="24"/>
        <v>-10</v>
      </c>
      <c r="AP288" s="82">
        <f t="shared" si="26"/>
        <v>0</v>
      </c>
      <c r="AQ288" s="81">
        <f t="shared" si="27"/>
        <v>-10</v>
      </c>
      <c r="AR288" s="82">
        <f t="shared" si="28"/>
        <v>0.01</v>
      </c>
      <c r="AS288" s="15"/>
      <c r="AT288" s="15"/>
      <c r="AU288" s="16"/>
      <c r="AV288" s="17"/>
      <c r="AW288" s="16"/>
      <c r="AX288" s="15"/>
      <c r="AY288" s="19"/>
      <c r="AZ288" s="15"/>
      <c r="BA288" s="18"/>
      <c r="BB288" s="17"/>
      <c r="BC288" s="17"/>
      <c r="BD288" s="17"/>
      <c r="BE288" s="6"/>
    </row>
    <row r="289" spans="1:57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00"/>
      <c r="AB289" s="100"/>
      <c r="AC289" s="11"/>
      <c r="AD289" s="11"/>
      <c r="AE289" s="11"/>
      <c r="AF289" s="11"/>
      <c r="AG289" s="11"/>
      <c r="AH289" s="11"/>
      <c r="AI289" s="11"/>
      <c r="AJ289" s="11"/>
      <c r="AK289" s="11"/>
      <c r="AL289" s="52"/>
      <c r="AM289" s="53"/>
      <c r="AN289" s="53">
        <f t="shared" si="25"/>
        <v>9</v>
      </c>
      <c r="AO289" s="77">
        <f t="shared" si="24"/>
        <v>-10</v>
      </c>
      <c r="AP289" s="54">
        <f t="shared" si="26"/>
        <v>0</v>
      </c>
      <c r="AQ289" s="77">
        <f t="shared" si="27"/>
        <v>-10</v>
      </c>
      <c r="AR289" s="54">
        <f t="shared" si="28"/>
        <v>0.01</v>
      </c>
      <c r="AS289" s="15"/>
      <c r="AT289" s="15"/>
      <c r="AU289" s="16"/>
      <c r="AV289" s="17"/>
      <c r="AW289" s="16"/>
      <c r="AX289" s="15"/>
      <c r="AY289" s="19"/>
      <c r="AZ289" s="15"/>
      <c r="BA289" s="18"/>
      <c r="BB289" s="17"/>
      <c r="BC289" s="17"/>
      <c r="BD289" s="17"/>
      <c r="BE289" s="6"/>
    </row>
    <row r="290" spans="1:57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00"/>
      <c r="AB290" s="100"/>
      <c r="AC290" s="11"/>
      <c r="AD290" s="11"/>
      <c r="AE290" s="11"/>
      <c r="AF290" s="11"/>
      <c r="AG290" s="11"/>
      <c r="AH290" s="11"/>
      <c r="AI290" s="11"/>
      <c r="AJ290" s="11"/>
      <c r="AK290" s="11"/>
      <c r="AL290" s="57"/>
      <c r="AM290" s="80"/>
      <c r="AN290" s="80">
        <f t="shared" si="25"/>
        <v>9</v>
      </c>
      <c r="AO290" s="81">
        <f t="shared" si="24"/>
        <v>-10</v>
      </c>
      <c r="AP290" s="82">
        <f t="shared" si="26"/>
        <v>0</v>
      </c>
      <c r="AQ290" s="81">
        <f t="shared" si="27"/>
        <v>-10</v>
      </c>
      <c r="AR290" s="82">
        <f t="shared" si="28"/>
        <v>0.01</v>
      </c>
      <c r="AS290" s="15"/>
      <c r="AT290" s="15"/>
      <c r="AU290" s="16"/>
      <c r="AV290" s="17"/>
      <c r="AW290" s="16"/>
      <c r="AX290" s="15"/>
      <c r="AY290" s="19"/>
      <c r="AZ290" s="15"/>
      <c r="BA290" s="18"/>
      <c r="BB290" s="17"/>
      <c r="BC290" s="17"/>
      <c r="BD290" s="17"/>
      <c r="BE290" s="6"/>
    </row>
    <row r="291" spans="1:57" x14ac:dyDescent="0.25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00"/>
      <c r="AB291" s="100"/>
      <c r="AC291" s="11"/>
      <c r="AD291" s="11"/>
      <c r="AE291" s="11"/>
      <c r="AF291" s="11"/>
      <c r="AG291" s="11"/>
      <c r="AH291" s="11"/>
      <c r="AI291" s="11"/>
      <c r="AJ291" s="11"/>
      <c r="AK291" s="11"/>
      <c r="AL291" s="52"/>
      <c r="AM291" s="53"/>
      <c r="AN291" s="53">
        <f t="shared" si="25"/>
        <v>9</v>
      </c>
      <c r="AO291" s="77">
        <f t="shared" si="24"/>
        <v>-10</v>
      </c>
      <c r="AP291" s="54">
        <f t="shared" si="26"/>
        <v>0</v>
      </c>
      <c r="AQ291" s="77">
        <f t="shared" si="27"/>
        <v>-10</v>
      </c>
      <c r="AR291" s="54">
        <f t="shared" si="28"/>
        <v>0.01</v>
      </c>
      <c r="AS291" s="15"/>
      <c r="AT291" s="15"/>
      <c r="AU291" s="16"/>
      <c r="AV291" s="17"/>
      <c r="AW291" s="16"/>
      <c r="AX291" s="15"/>
      <c r="AY291" s="19"/>
      <c r="AZ291" s="15"/>
      <c r="BA291" s="18"/>
      <c r="BB291" s="17"/>
      <c r="BC291" s="17"/>
      <c r="BD291" s="17"/>
      <c r="BE291" s="6"/>
    </row>
    <row r="292" spans="1:57" x14ac:dyDescent="0.25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00"/>
      <c r="AB292" s="100"/>
      <c r="AC292" s="11"/>
      <c r="AD292" s="11"/>
      <c r="AE292" s="11"/>
      <c r="AF292" s="11"/>
      <c r="AG292" s="11"/>
      <c r="AH292" s="11"/>
      <c r="AI292" s="11"/>
      <c r="AJ292" s="11"/>
      <c r="AK292" s="11"/>
      <c r="AL292" s="57"/>
      <c r="AM292" s="80"/>
      <c r="AN292" s="80">
        <f t="shared" si="25"/>
        <v>9</v>
      </c>
      <c r="AO292" s="81">
        <f t="shared" si="24"/>
        <v>-10</v>
      </c>
      <c r="AP292" s="82">
        <f t="shared" si="26"/>
        <v>0</v>
      </c>
      <c r="AQ292" s="81">
        <f t="shared" si="27"/>
        <v>-10</v>
      </c>
      <c r="AR292" s="82">
        <f t="shared" si="28"/>
        <v>0.01</v>
      </c>
      <c r="AS292" s="15"/>
      <c r="AT292" s="15"/>
      <c r="AU292" s="16"/>
      <c r="AV292" s="17"/>
      <c r="AW292" s="16"/>
      <c r="AX292" s="15"/>
      <c r="AY292" s="19"/>
      <c r="AZ292" s="15"/>
      <c r="BA292" s="18"/>
      <c r="BB292" s="17"/>
      <c r="BC292" s="17"/>
      <c r="BD292" s="17"/>
      <c r="BE292" s="6"/>
    </row>
    <row r="293" spans="1:57" x14ac:dyDescent="0.25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00"/>
      <c r="AB293" s="100"/>
      <c r="AC293" s="11"/>
      <c r="AD293" s="11"/>
      <c r="AE293" s="11"/>
      <c r="AF293" s="11"/>
      <c r="AG293" s="11"/>
      <c r="AH293" s="11"/>
      <c r="AI293" s="11"/>
      <c r="AJ293" s="11"/>
      <c r="AK293" s="11"/>
      <c r="AL293" s="52"/>
      <c r="AM293" s="53"/>
      <c r="AN293" s="53">
        <f t="shared" si="25"/>
        <v>9</v>
      </c>
      <c r="AO293" s="77">
        <f t="shared" si="24"/>
        <v>-10</v>
      </c>
      <c r="AP293" s="54">
        <f t="shared" si="26"/>
        <v>0</v>
      </c>
      <c r="AQ293" s="77">
        <f t="shared" si="27"/>
        <v>-10</v>
      </c>
      <c r="AR293" s="54">
        <f t="shared" si="28"/>
        <v>0.01</v>
      </c>
      <c r="AS293" s="15"/>
      <c r="AT293" s="15"/>
      <c r="AU293" s="16"/>
      <c r="AV293" s="17"/>
      <c r="AW293" s="16"/>
      <c r="AX293" s="15"/>
      <c r="AY293" s="19"/>
      <c r="AZ293" s="15"/>
      <c r="BA293" s="18"/>
      <c r="BB293" s="17"/>
      <c r="BC293" s="17"/>
      <c r="BD293" s="17"/>
      <c r="BE293" s="6"/>
    </row>
    <row r="294" spans="1:57" x14ac:dyDescent="0.25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00"/>
      <c r="AB294" s="100"/>
      <c r="AC294" s="11"/>
      <c r="AD294" s="11"/>
      <c r="AE294" s="11"/>
      <c r="AF294" s="11"/>
      <c r="AG294" s="11"/>
      <c r="AH294" s="11"/>
      <c r="AI294" s="11"/>
      <c r="AJ294" s="11"/>
      <c r="AK294" s="11"/>
      <c r="AL294" s="57"/>
      <c r="AM294" s="80"/>
      <c r="AN294" s="80">
        <f t="shared" si="25"/>
        <v>9</v>
      </c>
      <c r="AO294" s="81">
        <f t="shared" si="24"/>
        <v>-10</v>
      </c>
      <c r="AP294" s="82">
        <f t="shared" si="26"/>
        <v>0</v>
      </c>
      <c r="AQ294" s="81">
        <f t="shared" si="27"/>
        <v>-10</v>
      </c>
      <c r="AR294" s="82">
        <f t="shared" si="28"/>
        <v>0.01</v>
      </c>
      <c r="AS294" s="15"/>
      <c r="AT294" s="15"/>
      <c r="AU294" s="16"/>
      <c r="AV294" s="17"/>
      <c r="AW294" s="16"/>
      <c r="AX294" s="15"/>
      <c r="AY294" s="19"/>
      <c r="AZ294" s="15"/>
      <c r="BA294" s="18"/>
      <c r="BB294" s="17"/>
      <c r="BC294" s="17"/>
      <c r="BD294" s="17"/>
      <c r="BE294" s="6"/>
    </row>
    <row r="295" spans="1:57" x14ac:dyDescent="0.25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00"/>
      <c r="AB295" s="100"/>
      <c r="AC295" s="11"/>
      <c r="AD295" s="11"/>
      <c r="AE295" s="11"/>
      <c r="AF295" s="11"/>
      <c r="AG295" s="11"/>
      <c r="AH295" s="11"/>
      <c r="AI295" s="11"/>
      <c r="AJ295" s="11"/>
      <c r="AK295" s="11"/>
      <c r="AL295" s="52"/>
      <c r="AM295" s="53"/>
      <c r="AN295" s="53">
        <f t="shared" si="25"/>
        <v>9</v>
      </c>
      <c r="AO295" s="77">
        <f t="shared" si="24"/>
        <v>-10</v>
      </c>
      <c r="AP295" s="54">
        <f t="shared" si="26"/>
        <v>0</v>
      </c>
      <c r="AQ295" s="77">
        <f t="shared" si="27"/>
        <v>-10</v>
      </c>
      <c r="AR295" s="54">
        <f t="shared" si="28"/>
        <v>0.01</v>
      </c>
      <c r="AS295" s="15"/>
      <c r="AT295" s="15"/>
      <c r="AU295" s="16"/>
      <c r="AV295" s="17"/>
      <c r="AW295" s="16"/>
      <c r="AX295" s="15"/>
      <c r="AY295" s="19"/>
      <c r="AZ295" s="15"/>
      <c r="BA295" s="18"/>
      <c r="BB295" s="17"/>
      <c r="BC295" s="17"/>
      <c r="BD295" s="17"/>
      <c r="BE295" s="6"/>
    </row>
    <row r="296" spans="1:57" x14ac:dyDescent="0.25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00"/>
      <c r="AB296" s="100"/>
      <c r="AC296" s="11"/>
      <c r="AD296" s="11"/>
      <c r="AE296" s="11"/>
      <c r="AF296" s="11"/>
      <c r="AG296" s="11"/>
      <c r="AH296" s="11"/>
      <c r="AI296" s="11"/>
      <c r="AJ296" s="11"/>
      <c r="AK296" s="11"/>
      <c r="AL296" s="57"/>
      <c r="AM296" s="80"/>
      <c r="AN296" s="80">
        <f t="shared" si="25"/>
        <v>9</v>
      </c>
      <c r="AO296" s="81">
        <f t="shared" si="24"/>
        <v>-10</v>
      </c>
      <c r="AP296" s="82">
        <f t="shared" si="26"/>
        <v>0</v>
      </c>
      <c r="AQ296" s="81">
        <f t="shared" si="27"/>
        <v>-10</v>
      </c>
      <c r="AR296" s="82">
        <f t="shared" si="28"/>
        <v>0.01</v>
      </c>
      <c r="AS296" s="15"/>
      <c r="AT296" s="15"/>
      <c r="AU296" s="16"/>
      <c r="AV296" s="17"/>
      <c r="AW296" s="16"/>
      <c r="AX296" s="15"/>
      <c r="AY296" s="19"/>
      <c r="AZ296" s="15"/>
      <c r="BA296" s="18"/>
      <c r="BB296" s="17"/>
      <c r="BC296" s="17"/>
      <c r="BD296" s="17"/>
      <c r="BE296" s="6"/>
    </row>
    <row r="297" spans="1:57" x14ac:dyDescent="0.25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00"/>
      <c r="AB297" s="100"/>
      <c r="AC297" s="11"/>
      <c r="AD297" s="11"/>
      <c r="AE297" s="11"/>
      <c r="AF297" s="11"/>
      <c r="AG297" s="11"/>
      <c r="AH297" s="11"/>
      <c r="AI297" s="11"/>
      <c r="AJ297" s="11"/>
      <c r="AK297" s="11"/>
      <c r="AL297" s="52"/>
      <c r="AM297" s="53"/>
      <c r="AN297" s="53">
        <f t="shared" si="25"/>
        <v>9</v>
      </c>
      <c r="AO297" s="77">
        <f t="shared" si="24"/>
        <v>-10</v>
      </c>
      <c r="AP297" s="54">
        <f t="shared" si="26"/>
        <v>0</v>
      </c>
      <c r="AQ297" s="77">
        <f t="shared" si="27"/>
        <v>-10</v>
      </c>
      <c r="AR297" s="54">
        <f t="shared" si="28"/>
        <v>0.01</v>
      </c>
      <c r="AS297" s="15"/>
      <c r="AT297" s="15"/>
      <c r="AU297" s="16"/>
      <c r="AV297" s="17"/>
      <c r="AW297" s="16"/>
      <c r="AX297" s="15"/>
      <c r="AY297" s="19"/>
      <c r="AZ297" s="15"/>
      <c r="BA297" s="18"/>
      <c r="BB297" s="17"/>
      <c r="BC297" s="17"/>
      <c r="BD297" s="17"/>
      <c r="BE297" s="6"/>
    </row>
    <row r="298" spans="1:57" x14ac:dyDescent="0.25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00"/>
      <c r="AB298" s="100"/>
      <c r="AC298" s="11"/>
      <c r="AD298" s="11"/>
      <c r="AE298" s="11"/>
      <c r="AF298" s="11"/>
      <c r="AG298" s="11"/>
      <c r="AH298" s="11"/>
      <c r="AI298" s="11"/>
      <c r="AJ298" s="11"/>
      <c r="AK298" s="11"/>
      <c r="AL298" s="57"/>
      <c r="AM298" s="80"/>
      <c r="AN298" s="80">
        <f t="shared" si="25"/>
        <v>9</v>
      </c>
      <c r="AO298" s="81">
        <f t="shared" si="24"/>
        <v>-10</v>
      </c>
      <c r="AP298" s="82">
        <f t="shared" si="26"/>
        <v>0</v>
      </c>
      <c r="AQ298" s="81">
        <f t="shared" si="27"/>
        <v>-10</v>
      </c>
      <c r="AR298" s="82">
        <f t="shared" si="28"/>
        <v>0.01</v>
      </c>
      <c r="AS298" s="15"/>
      <c r="AT298" s="15"/>
      <c r="AU298" s="16"/>
      <c r="AV298" s="17"/>
      <c r="AW298" s="16"/>
      <c r="AX298" s="15"/>
      <c r="AY298" s="19"/>
      <c r="AZ298" s="15"/>
      <c r="BA298" s="18"/>
      <c r="BB298" s="17"/>
      <c r="BC298" s="17"/>
      <c r="BD298" s="17"/>
      <c r="BE298" s="6"/>
    </row>
    <row r="299" spans="1:57" x14ac:dyDescent="0.25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00"/>
      <c r="AB299" s="100"/>
      <c r="AC299" s="11"/>
      <c r="AD299" s="11"/>
      <c r="AE299" s="11"/>
      <c r="AF299" s="11"/>
      <c r="AG299" s="11"/>
      <c r="AH299" s="11"/>
      <c r="AI299" s="11"/>
      <c r="AJ299" s="11"/>
      <c r="AK299" s="11"/>
      <c r="AL299" s="52"/>
      <c r="AM299" s="53"/>
      <c r="AN299" s="53">
        <f t="shared" si="25"/>
        <v>9</v>
      </c>
      <c r="AO299" s="77">
        <f t="shared" si="24"/>
        <v>-10</v>
      </c>
      <c r="AP299" s="54">
        <f t="shared" si="26"/>
        <v>0</v>
      </c>
      <c r="AQ299" s="77">
        <f t="shared" si="27"/>
        <v>-10</v>
      </c>
      <c r="AR299" s="54">
        <f t="shared" si="28"/>
        <v>0.01</v>
      </c>
      <c r="AS299" s="15"/>
      <c r="AT299" s="15"/>
      <c r="AU299" s="16"/>
      <c r="AV299" s="17"/>
      <c r="AW299" s="16"/>
      <c r="AX299" s="15"/>
      <c r="AY299" s="19"/>
      <c r="AZ299" s="15"/>
      <c r="BA299" s="18"/>
      <c r="BB299" s="17"/>
      <c r="BC299" s="17"/>
      <c r="BD299" s="17"/>
      <c r="BE299" s="6"/>
    </row>
    <row r="300" spans="1:57" x14ac:dyDescent="0.25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00"/>
      <c r="AB300" s="100"/>
      <c r="AC300" s="11"/>
      <c r="AD300" s="11"/>
      <c r="AE300" s="11"/>
      <c r="AF300" s="11"/>
      <c r="AG300" s="11"/>
      <c r="AH300" s="11"/>
      <c r="AI300" s="11"/>
      <c r="AJ300" s="11"/>
      <c r="AK300" s="11"/>
      <c r="AL300" s="57"/>
      <c r="AM300" s="80"/>
      <c r="AN300" s="80">
        <f t="shared" si="25"/>
        <v>9</v>
      </c>
      <c r="AO300" s="81">
        <f t="shared" si="24"/>
        <v>-10</v>
      </c>
      <c r="AP300" s="82">
        <f t="shared" si="26"/>
        <v>0</v>
      </c>
      <c r="AQ300" s="81">
        <f t="shared" si="27"/>
        <v>-10</v>
      </c>
      <c r="AR300" s="82">
        <f t="shared" si="28"/>
        <v>0.01</v>
      </c>
      <c r="AS300" s="15"/>
      <c r="AT300" s="15"/>
      <c r="AU300" s="16"/>
      <c r="AV300" s="17"/>
      <c r="AW300" s="16"/>
      <c r="AX300" s="15"/>
      <c r="AY300" s="19"/>
      <c r="AZ300" s="15"/>
      <c r="BA300" s="18"/>
      <c r="BB300" s="17"/>
      <c r="BC300" s="17"/>
      <c r="BD300" s="17"/>
      <c r="BE300" s="6"/>
    </row>
    <row r="301" spans="1:57" x14ac:dyDescent="0.25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00"/>
      <c r="AB301" s="100"/>
      <c r="AC301" s="11"/>
      <c r="AD301" s="11"/>
      <c r="AE301" s="11"/>
      <c r="AF301" s="11"/>
      <c r="AG301" s="11"/>
      <c r="AH301" s="11"/>
      <c r="AI301" s="11"/>
      <c r="AJ301" s="11"/>
      <c r="AK301" s="11"/>
      <c r="AL301" s="52"/>
      <c r="AM301" s="53"/>
      <c r="AN301" s="53">
        <f t="shared" si="25"/>
        <v>9</v>
      </c>
      <c r="AO301" s="77">
        <f t="shared" si="24"/>
        <v>-10</v>
      </c>
      <c r="AP301" s="54">
        <f t="shared" si="26"/>
        <v>0</v>
      </c>
      <c r="AQ301" s="77">
        <f t="shared" si="27"/>
        <v>-10</v>
      </c>
      <c r="AR301" s="54">
        <f t="shared" si="28"/>
        <v>0.01</v>
      </c>
      <c r="AS301" s="15"/>
      <c r="AT301" s="15"/>
      <c r="AU301" s="16"/>
      <c r="AV301" s="17"/>
      <c r="AW301" s="16"/>
      <c r="AX301" s="15"/>
      <c r="AY301" s="19"/>
      <c r="AZ301" s="15"/>
      <c r="BA301" s="18"/>
      <c r="BB301" s="17"/>
      <c r="BC301" s="17"/>
      <c r="BD301" s="17"/>
      <c r="BE301" s="6"/>
    </row>
    <row r="302" spans="1:57" x14ac:dyDescent="0.25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00"/>
      <c r="AB302" s="100"/>
      <c r="AC302" s="11"/>
      <c r="AD302" s="11"/>
      <c r="AE302" s="11"/>
      <c r="AF302" s="11"/>
      <c r="AG302" s="11"/>
      <c r="AH302" s="11"/>
      <c r="AI302" s="11"/>
      <c r="AJ302" s="11"/>
      <c r="AK302" s="11"/>
      <c r="AL302" s="57"/>
      <c r="AM302" s="80"/>
      <c r="AN302" s="80">
        <f t="shared" si="25"/>
        <v>9</v>
      </c>
      <c r="AO302" s="81">
        <f t="shared" si="24"/>
        <v>-10</v>
      </c>
      <c r="AP302" s="82">
        <f t="shared" si="26"/>
        <v>0</v>
      </c>
      <c r="AQ302" s="81">
        <f t="shared" si="27"/>
        <v>-10</v>
      </c>
      <c r="AR302" s="82">
        <f t="shared" si="28"/>
        <v>0.01</v>
      </c>
      <c r="AS302" s="15"/>
      <c r="AT302" s="15"/>
      <c r="AU302" s="16"/>
      <c r="AV302" s="17"/>
      <c r="AW302" s="16"/>
      <c r="AX302" s="15"/>
      <c r="AY302" s="19"/>
      <c r="AZ302" s="15"/>
      <c r="BA302" s="18"/>
      <c r="BB302" s="17"/>
      <c r="BC302" s="17"/>
      <c r="BD302" s="17"/>
      <c r="BE302" s="6"/>
    </row>
    <row r="303" spans="1:57" x14ac:dyDescent="0.25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00"/>
      <c r="AB303" s="100"/>
      <c r="AC303" s="11"/>
      <c r="AD303" s="11"/>
      <c r="AE303" s="11"/>
      <c r="AF303" s="11"/>
      <c r="AG303" s="11"/>
      <c r="AH303" s="11"/>
      <c r="AI303" s="11"/>
      <c r="AJ303" s="11"/>
      <c r="AK303" s="11"/>
      <c r="AL303" s="52"/>
      <c r="AM303" s="53"/>
      <c r="AN303" s="53">
        <f t="shared" si="25"/>
        <v>9</v>
      </c>
      <c r="AO303" s="77">
        <f t="shared" ref="AO303:AO366" si="29">IF(AO302+(AQ302/AN303)&lt;AQ302,AQ302,AO302+(AQ302/AN303))</f>
        <v>-10</v>
      </c>
      <c r="AP303" s="54">
        <f t="shared" si="26"/>
        <v>0</v>
      </c>
      <c r="AQ303" s="77">
        <f t="shared" si="27"/>
        <v>-10</v>
      </c>
      <c r="AR303" s="54">
        <f t="shared" si="28"/>
        <v>0.01</v>
      </c>
      <c r="AS303" s="15"/>
      <c r="AT303" s="15"/>
      <c r="AU303" s="16"/>
      <c r="AV303" s="17"/>
      <c r="AW303" s="16"/>
      <c r="AX303" s="15"/>
      <c r="AY303" s="19"/>
      <c r="AZ303" s="15"/>
      <c r="BA303" s="18"/>
      <c r="BB303" s="17"/>
      <c r="BC303" s="17"/>
      <c r="BD303" s="17"/>
      <c r="BE303" s="6"/>
    </row>
    <row r="304" spans="1:57" x14ac:dyDescent="0.25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00"/>
      <c r="AB304" s="100"/>
      <c r="AC304" s="11"/>
      <c r="AD304" s="11"/>
      <c r="AE304" s="11"/>
      <c r="AF304" s="11"/>
      <c r="AG304" s="11"/>
      <c r="AH304" s="11"/>
      <c r="AI304" s="11"/>
      <c r="AJ304" s="11"/>
      <c r="AK304" s="11"/>
      <c r="AL304" s="57"/>
      <c r="AM304" s="80"/>
      <c r="AN304" s="80">
        <f t="shared" si="25"/>
        <v>9</v>
      </c>
      <c r="AO304" s="81">
        <f t="shared" si="29"/>
        <v>-10</v>
      </c>
      <c r="AP304" s="82">
        <f t="shared" si="26"/>
        <v>0</v>
      </c>
      <c r="AQ304" s="81">
        <f t="shared" si="27"/>
        <v>-10</v>
      </c>
      <c r="AR304" s="82">
        <f t="shared" si="28"/>
        <v>0.01</v>
      </c>
      <c r="AS304" s="15"/>
      <c r="AT304" s="15"/>
      <c r="AU304" s="16"/>
      <c r="AV304" s="17"/>
      <c r="AW304" s="16"/>
      <c r="AX304" s="15"/>
      <c r="AY304" s="19"/>
      <c r="AZ304" s="15"/>
      <c r="BA304" s="18"/>
      <c r="BB304" s="17"/>
      <c r="BC304" s="17"/>
      <c r="BD304" s="17"/>
      <c r="BE304" s="6"/>
    </row>
    <row r="305" spans="1:57" x14ac:dyDescent="0.25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00"/>
      <c r="AB305" s="100"/>
      <c r="AC305" s="11"/>
      <c r="AD305" s="11"/>
      <c r="AE305" s="11"/>
      <c r="AF305" s="11"/>
      <c r="AG305" s="11"/>
      <c r="AH305" s="11"/>
      <c r="AI305" s="11"/>
      <c r="AJ305" s="11"/>
      <c r="AK305" s="11"/>
      <c r="AL305" s="52"/>
      <c r="AM305" s="53"/>
      <c r="AN305" s="53">
        <f t="shared" si="25"/>
        <v>9</v>
      </c>
      <c r="AO305" s="77">
        <f t="shared" si="29"/>
        <v>-10</v>
      </c>
      <c r="AP305" s="54">
        <f t="shared" si="26"/>
        <v>0</v>
      </c>
      <c r="AQ305" s="77">
        <f t="shared" si="27"/>
        <v>-10</v>
      </c>
      <c r="AR305" s="54">
        <f t="shared" si="28"/>
        <v>0.01</v>
      </c>
      <c r="AS305" s="15"/>
      <c r="AT305" s="15"/>
      <c r="AU305" s="16"/>
      <c r="AV305" s="17"/>
      <c r="AW305" s="16"/>
      <c r="AX305" s="15"/>
      <c r="AY305" s="19"/>
      <c r="AZ305" s="15"/>
      <c r="BA305" s="18"/>
      <c r="BB305" s="17"/>
      <c r="BC305" s="17"/>
      <c r="BD305" s="17"/>
      <c r="BE305" s="6"/>
    </row>
    <row r="306" spans="1:57" x14ac:dyDescent="0.25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00"/>
      <c r="AB306" s="100"/>
      <c r="AC306" s="11"/>
      <c r="AD306" s="11"/>
      <c r="AE306" s="11"/>
      <c r="AF306" s="11"/>
      <c r="AG306" s="11"/>
      <c r="AH306" s="11"/>
      <c r="AI306" s="11"/>
      <c r="AJ306" s="11"/>
      <c r="AK306" s="11"/>
      <c r="AL306" s="57"/>
      <c r="AM306" s="80"/>
      <c r="AN306" s="80">
        <f t="shared" si="25"/>
        <v>9</v>
      </c>
      <c r="AO306" s="81">
        <f t="shared" si="29"/>
        <v>-10</v>
      </c>
      <c r="AP306" s="82">
        <f t="shared" si="26"/>
        <v>0</v>
      </c>
      <c r="AQ306" s="81">
        <f t="shared" si="27"/>
        <v>-10</v>
      </c>
      <c r="AR306" s="82">
        <f t="shared" si="28"/>
        <v>0.01</v>
      </c>
      <c r="AS306" s="15"/>
      <c r="AT306" s="15"/>
      <c r="AU306" s="16"/>
      <c r="AV306" s="17"/>
      <c r="AW306" s="16"/>
      <c r="AX306" s="15"/>
      <c r="AY306" s="19"/>
      <c r="AZ306" s="15"/>
      <c r="BA306" s="18"/>
      <c r="BB306" s="17"/>
      <c r="BC306" s="17"/>
      <c r="BD306" s="17"/>
      <c r="BE306" s="6"/>
    </row>
    <row r="307" spans="1:57" x14ac:dyDescent="0.25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00"/>
      <c r="AB307" s="100"/>
      <c r="AC307" s="11"/>
      <c r="AD307" s="11"/>
      <c r="AE307" s="11"/>
      <c r="AF307" s="11"/>
      <c r="AG307" s="11"/>
      <c r="AH307" s="11"/>
      <c r="AI307" s="11"/>
      <c r="AJ307" s="11"/>
      <c r="AK307" s="11"/>
      <c r="AL307" s="52"/>
      <c r="AM307" s="53"/>
      <c r="AN307" s="53">
        <f t="shared" si="25"/>
        <v>9</v>
      </c>
      <c r="AO307" s="77">
        <f t="shared" si="29"/>
        <v>-10</v>
      </c>
      <c r="AP307" s="54">
        <f t="shared" si="26"/>
        <v>0</v>
      </c>
      <c r="AQ307" s="77">
        <f t="shared" si="27"/>
        <v>-10</v>
      </c>
      <c r="AR307" s="54">
        <f t="shared" si="28"/>
        <v>0.01</v>
      </c>
      <c r="AS307" s="15"/>
      <c r="AT307" s="15"/>
      <c r="AU307" s="16"/>
      <c r="AV307" s="17"/>
      <c r="AW307" s="16"/>
      <c r="AX307" s="15"/>
      <c r="AY307" s="19"/>
      <c r="AZ307" s="15"/>
      <c r="BA307" s="18"/>
      <c r="BB307" s="17"/>
      <c r="BC307" s="17"/>
      <c r="BD307" s="17"/>
      <c r="BE307" s="6"/>
    </row>
    <row r="308" spans="1:57" x14ac:dyDescent="0.25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00"/>
      <c r="AB308" s="100"/>
      <c r="AC308" s="11"/>
      <c r="AD308" s="11"/>
      <c r="AE308" s="11"/>
      <c r="AF308" s="11"/>
      <c r="AG308" s="11"/>
      <c r="AH308" s="11"/>
      <c r="AI308" s="11"/>
      <c r="AJ308" s="11"/>
      <c r="AK308" s="11"/>
      <c r="AL308" s="57"/>
      <c r="AM308" s="80"/>
      <c r="AN308" s="80">
        <f t="shared" si="25"/>
        <v>9</v>
      </c>
      <c r="AO308" s="81">
        <f t="shared" si="29"/>
        <v>-10</v>
      </c>
      <c r="AP308" s="82">
        <f t="shared" si="26"/>
        <v>0</v>
      </c>
      <c r="AQ308" s="81">
        <f t="shared" si="27"/>
        <v>-10</v>
      </c>
      <c r="AR308" s="82">
        <f t="shared" si="28"/>
        <v>0.01</v>
      </c>
      <c r="AS308" s="15"/>
      <c r="AT308" s="15"/>
      <c r="AU308" s="16"/>
      <c r="AV308" s="17"/>
      <c r="AW308" s="16"/>
      <c r="AX308" s="15"/>
      <c r="AY308" s="19"/>
      <c r="AZ308" s="15"/>
      <c r="BA308" s="18"/>
      <c r="BB308" s="17"/>
      <c r="BC308" s="17"/>
      <c r="BD308" s="17"/>
      <c r="BE308" s="6"/>
    </row>
    <row r="309" spans="1:57" x14ac:dyDescent="0.25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00"/>
      <c r="AB309" s="100"/>
      <c r="AC309" s="11"/>
      <c r="AD309" s="11"/>
      <c r="AE309" s="11"/>
      <c r="AF309" s="11"/>
      <c r="AG309" s="11"/>
      <c r="AH309" s="11"/>
      <c r="AI309" s="11"/>
      <c r="AJ309" s="11"/>
      <c r="AK309" s="11"/>
      <c r="AL309" s="52"/>
      <c r="AM309" s="53"/>
      <c r="AN309" s="53">
        <f t="shared" si="25"/>
        <v>9</v>
      </c>
      <c r="AO309" s="77">
        <f t="shared" si="29"/>
        <v>-10</v>
      </c>
      <c r="AP309" s="54">
        <f t="shared" si="26"/>
        <v>0</v>
      </c>
      <c r="AQ309" s="77">
        <f t="shared" si="27"/>
        <v>-10</v>
      </c>
      <c r="AR309" s="54">
        <f t="shared" si="28"/>
        <v>0.01</v>
      </c>
      <c r="AS309" s="15"/>
      <c r="AT309" s="15"/>
      <c r="AU309" s="16"/>
      <c r="AV309" s="17"/>
      <c r="AW309" s="16"/>
      <c r="AX309" s="15"/>
      <c r="AY309" s="19"/>
      <c r="AZ309" s="15"/>
      <c r="BA309" s="18"/>
      <c r="BB309" s="17"/>
      <c r="BC309" s="17"/>
      <c r="BD309" s="17"/>
      <c r="BE309" s="6"/>
    </row>
    <row r="310" spans="1:57" x14ac:dyDescent="0.25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00"/>
      <c r="AB310" s="100"/>
      <c r="AC310" s="11"/>
      <c r="AD310" s="11"/>
      <c r="AE310" s="11"/>
      <c r="AF310" s="11"/>
      <c r="AG310" s="11"/>
      <c r="AH310" s="11"/>
      <c r="AI310" s="11"/>
      <c r="AJ310" s="11"/>
      <c r="AK310" s="11"/>
      <c r="AL310" s="57"/>
      <c r="AM310" s="80"/>
      <c r="AN310" s="80">
        <f t="shared" si="25"/>
        <v>9</v>
      </c>
      <c r="AO310" s="81">
        <f t="shared" si="29"/>
        <v>-10</v>
      </c>
      <c r="AP310" s="82">
        <f t="shared" si="26"/>
        <v>0</v>
      </c>
      <c r="AQ310" s="81">
        <f t="shared" si="27"/>
        <v>-10</v>
      </c>
      <c r="AR310" s="82">
        <f t="shared" si="28"/>
        <v>0.01</v>
      </c>
      <c r="AS310" s="15"/>
      <c r="AT310" s="15"/>
      <c r="AU310" s="16"/>
      <c r="AV310" s="17"/>
      <c r="AW310" s="16"/>
      <c r="AX310" s="15"/>
      <c r="AY310" s="19"/>
      <c r="AZ310" s="15"/>
      <c r="BA310" s="18"/>
      <c r="BB310" s="17"/>
      <c r="BC310" s="17"/>
      <c r="BD310" s="17"/>
      <c r="BE310" s="6"/>
    </row>
    <row r="311" spans="1:57" x14ac:dyDescent="0.25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00"/>
      <c r="AB311" s="100"/>
      <c r="AC311" s="11"/>
      <c r="AD311" s="11"/>
      <c r="AE311" s="11"/>
      <c r="AF311" s="11"/>
      <c r="AG311" s="11"/>
      <c r="AH311" s="11"/>
      <c r="AI311" s="11"/>
      <c r="AJ311" s="11"/>
      <c r="AK311" s="11"/>
      <c r="AL311" s="52"/>
      <c r="AM311" s="53"/>
      <c r="AN311" s="53">
        <f t="shared" si="25"/>
        <v>9</v>
      </c>
      <c r="AO311" s="77">
        <f t="shared" si="29"/>
        <v>-10</v>
      </c>
      <c r="AP311" s="54">
        <f t="shared" si="26"/>
        <v>0</v>
      </c>
      <c r="AQ311" s="77">
        <f t="shared" si="27"/>
        <v>-10</v>
      </c>
      <c r="AR311" s="54">
        <f t="shared" si="28"/>
        <v>0.01</v>
      </c>
      <c r="AS311" s="15"/>
      <c r="AT311" s="15"/>
      <c r="AU311" s="16"/>
      <c r="AV311" s="17"/>
      <c r="AW311" s="16"/>
      <c r="AX311" s="15"/>
      <c r="AY311" s="19"/>
      <c r="AZ311" s="15"/>
      <c r="BA311" s="18"/>
      <c r="BB311" s="17"/>
      <c r="BC311" s="17"/>
      <c r="BD311" s="17"/>
      <c r="BE311" s="6"/>
    </row>
    <row r="312" spans="1:57" x14ac:dyDescent="0.25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00"/>
      <c r="AB312" s="100"/>
      <c r="AC312" s="11"/>
      <c r="AD312" s="11"/>
      <c r="AE312" s="11"/>
      <c r="AF312" s="11"/>
      <c r="AG312" s="11"/>
      <c r="AH312" s="11"/>
      <c r="AI312" s="11"/>
      <c r="AJ312" s="11"/>
      <c r="AK312" s="11"/>
      <c r="AL312" s="57"/>
      <c r="AM312" s="80"/>
      <c r="AN312" s="80">
        <f t="shared" si="25"/>
        <v>9</v>
      </c>
      <c r="AO312" s="81">
        <f t="shared" si="29"/>
        <v>-10</v>
      </c>
      <c r="AP312" s="82">
        <f t="shared" si="26"/>
        <v>0</v>
      </c>
      <c r="AQ312" s="81">
        <f t="shared" si="27"/>
        <v>-10</v>
      </c>
      <c r="AR312" s="82">
        <f t="shared" si="28"/>
        <v>0.01</v>
      </c>
      <c r="AS312" s="15"/>
      <c r="AT312" s="15"/>
      <c r="AU312" s="16"/>
      <c r="AV312" s="17"/>
      <c r="AW312" s="16"/>
      <c r="AX312" s="15"/>
      <c r="AY312" s="19"/>
      <c r="AZ312" s="15"/>
      <c r="BA312" s="18"/>
      <c r="BB312" s="17"/>
      <c r="BC312" s="17"/>
      <c r="BD312" s="17"/>
      <c r="BE312" s="6"/>
    </row>
    <row r="313" spans="1:57" x14ac:dyDescent="0.25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00"/>
      <c r="AB313" s="100"/>
      <c r="AC313" s="11"/>
      <c r="AD313" s="11"/>
      <c r="AE313" s="11"/>
      <c r="AF313" s="11"/>
      <c r="AG313" s="11"/>
      <c r="AH313" s="11"/>
      <c r="AI313" s="11"/>
      <c r="AJ313" s="11"/>
      <c r="AK313" s="11"/>
      <c r="AL313" s="52"/>
      <c r="AM313" s="53"/>
      <c r="AN313" s="53">
        <f t="shared" si="25"/>
        <v>9</v>
      </c>
      <c r="AO313" s="77">
        <f t="shared" si="29"/>
        <v>-10</v>
      </c>
      <c r="AP313" s="54">
        <f t="shared" si="26"/>
        <v>0</v>
      </c>
      <c r="AQ313" s="77">
        <f t="shared" si="27"/>
        <v>-10</v>
      </c>
      <c r="AR313" s="54">
        <f t="shared" si="28"/>
        <v>0.01</v>
      </c>
      <c r="AS313" s="15"/>
      <c r="AT313" s="15"/>
      <c r="AU313" s="16"/>
      <c r="AV313" s="17"/>
      <c r="AW313" s="16"/>
      <c r="AX313" s="15"/>
      <c r="AY313" s="19"/>
      <c r="AZ313" s="15"/>
      <c r="BA313" s="18"/>
      <c r="BB313" s="17"/>
      <c r="BC313" s="17"/>
      <c r="BD313" s="17"/>
      <c r="BE313" s="6"/>
    </row>
    <row r="314" spans="1:57" x14ac:dyDescent="0.25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00"/>
      <c r="AB314" s="100"/>
      <c r="AC314" s="11"/>
      <c r="AD314" s="11"/>
      <c r="AE314" s="11"/>
      <c r="AF314" s="11"/>
      <c r="AG314" s="11"/>
      <c r="AH314" s="11"/>
      <c r="AI314" s="11"/>
      <c r="AJ314" s="11"/>
      <c r="AK314" s="11"/>
      <c r="AL314" s="57"/>
      <c r="AM314" s="80"/>
      <c r="AN314" s="80">
        <f t="shared" si="25"/>
        <v>9</v>
      </c>
      <c r="AO314" s="81">
        <f t="shared" si="29"/>
        <v>-10</v>
      </c>
      <c r="AP314" s="82">
        <f t="shared" si="26"/>
        <v>0</v>
      </c>
      <c r="AQ314" s="81">
        <f t="shared" si="27"/>
        <v>-10</v>
      </c>
      <c r="AR314" s="82">
        <f t="shared" si="28"/>
        <v>0.01</v>
      </c>
      <c r="AS314" s="15"/>
      <c r="AT314" s="15"/>
      <c r="AU314" s="16"/>
      <c r="AV314" s="17"/>
      <c r="AW314" s="16"/>
      <c r="AX314" s="15"/>
      <c r="AY314" s="19"/>
      <c r="AZ314" s="15"/>
      <c r="BA314" s="18"/>
      <c r="BB314" s="17"/>
      <c r="BC314" s="17"/>
      <c r="BD314" s="17"/>
      <c r="BE314" s="6"/>
    </row>
    <row r="315" spans="1:57" x14ac:dyDescent="0.25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00"/>
      <c r="AB315" s="100"/>
      <c r="AC315" s="11"/>
      <c r="AD315" s="11"/>
      <c r="AE315" s="11"/>
      <c r="AF315" s="11"/>
      <c r="AG315" s="11"/>
      <c r="AH315" s="11"/>
      <c r="AI315" s="11"/>
      <c r="AJ315" s="11"/>
      <c r="AK315" s="11"/>
      <c r="AL315" s="52"/>
      <c r="AM315" s="53"/>
      <c r="AN315" s="53">
        <f t="shared" si="25"/>
        <v>9</v>
      </c>
      <c r="AO315" s="77">
        <f t="shared" si="29"/>
        <v>-10</v>
      </c>
      <c r="AP315" s="54">
        <f t="shared" si="26"/>
        <v>0</v>
      </c>
      <c r="AQ315" s="77">
        <f t="shared" si="27"/>
        <v>-10</v>
      </c>
      <c r="AR315" s="54">
        <f t="shared" si="28"/>
        <v>0.01</v>
      </c>
      <c r="AS315" s="15"/>
      <c r="AT315" s="15"/>
      <c r="AU315" s="16"/>
      <c r="AV315" s="17"/>
      <c r="AW315" s="16"/>
      <c r="AX315" s="15"/>
      <c r="AY315" s="19"/>
      <c r="AZ315" s="15"/>
      <c r="BA315" s="18"/>
      <c r="BB315" s="17"/>
      <c r="BC315" s="17"/>
      <c r="BD315" s="17"/>
      <c r="BE315" s="6"/>
    </row>
    <row r="316" spans="1:57" x14ac:dyDescent="0.25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00"/>
      <c r="AB316" s="100"/>
      <c r="AC316" s="11"/>
      <c r="AD316" s="11"/>
      <c r="AE316" s="11"/>
      <c r="AF316" s="11"/>
      <c r="AG316" s="11"/>
      <c r="AH316" s="11"/>
      <c r="AI316" s="11"/>
      <c r="AJ316" s="11"/>
      <c r="AK316" s="11"/>
      <c r="AL316" s="57"/>
      <c r="AM316" s="80"/>
      <c r="AN316" s="80">
        <f t="shared" si="25"/>
        <v>9</v>
      </c>
      <c r="AO316" s="81">
        <f t="shared" si="29"/>
        <v>-10</v>
      </c>
      <c r="AP316" s="82">
        <f t="shared" si="26"/>
        <v>0</v>
      </c>
      <c r="AQ316" s="81">
        <f t="shared" si="27"/>
        <v>-10</v>
      </c>
      <c r="AR316" s="82">
        <f t="shared" si="28"/>
        <v>0.01</v>
      </c>
      <c r="AS316" s="15"/>
      <c r="AT316" s="15"/>
      <c r="AU316" s="16"/>
      <c r="AV316" s="17"/>
      <c r="AW316" s="16"/>
      <c r="AX316" s="15"/>
      <c r="AY316" s="19"/>
      <c r="AZ316" s="15"/>
      <c r="BA316" s="18"/>
      <c r="BB316" s="17"/>
      <c r="BC316" s="17"/>
      <c r="BD316" s="17"/>
      <c r="BE316" s="6"/>
    </row>
    <row r="317" spans="1:57" x14ac:dyDescent="0.25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00"/>
      <c r="AB317" s="100"/>
      <c r="AC317" s="11"/>
      <c r="AD317" s="11"/>
      <c r="AE317" s="11"/>
      <c r="AF317" s="11"/>
      <c r="AG317" s="11"/>
      <c r="AH317" s="11"/>
      <c r="AI317" s="11"/>
      <c r="AJ317" s="11"/>
      <c r="AK317" s="11"/>
      <c r="AL317" s="52"/>
      <c r="AM317" s="53"/>
      <c r="AN317" s="53">
        <f t="shared" si="25"/>
        <v>9</v>
      </c>
      <c r="AO317" s="77">
        <f t="shared" si="29"/>
        <v>-10</v>
      </c>
      <c r="AP317" s="54">
        <f t="shared" si="26"/>
        <v>0</v>
      </c>
      <c r="AQ317" s="77">
        <f t="shared" si="27"/>
        <v>-10</v>
      </c>
      <c r="AR317" s="54">
        <f t="shared" si="28"/>
        <v>0.01</v>
      </c>
      <c r="AS317" s="15"/>
      <c r="AT317" s="15"/>
      <c r="AU317" s="16"/>
      <c r="AV317" s="17"/>
      <c r="AW317" s="16"/>
      <c r="AX317" s="15"/>
      <c r="AY317" s="19"/>
      <c r="AZ317" s="15"/>
      <c r="BA317" s="18"/>
      <c r="BB317" s="17"/>
      <c r="BC317" s="17"/>
      <c r="BD317" s="17"/>
      <c r="BE317" s="6"/>
    </row>
    <row r="318" spans="1:57" x14ac:dyDescent="0.25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00"/>
      <c r="AB318" s="100"/>
      <c r="AC318" s="11"/>
      <c r="AD318" s="11"/>
      <c r="AE318" s="11"/>
      <c r="AF318" s="11"/>
      <c r="AG318" s="11"/>
      <c r="AH318" s="11"/>
      <c r="AI318" s="11"/>
      <c r="AJ318" s="11"/>
      <c r="AK318" s="11"/>
      <c r="AL318" s="57"/>
      <c r="AM318" s="80"/>
      <c r="AN318" s="80">
        <f t="shared" si="25"/>
        <v>9</v>
      </c>
      <c r="AO318" s="81">
        <f t="shared" si="29"/>
        <v>-10</v>
      </c>
      <c r="AP318" s="82">
        <f t="shared" si="26"/>
        <v>0</v>
      </c>
      <c r="AQ318" s="81">
        <f t="shared" si="27"/>
        <v>-10</v>
      </c>
      <c r="AR318" s="82">
        <f t="shared" si="28"/>
        <v>0.01</v>
      </c>
      <c r="AS318" s="15"/>
      <c r="AT318" s="15"/>
      <c r="AU318" s="16"/>
      <c r="AV318" s="17"/>
      <c r="AW318" s="16"/>
      <c r="AX318" s="15"/>
      <c r="AY318" s="19"/>
      <c r="AZ318" s="15"/>
      <c r="BA318" s="18"/>
      <c r="BB318" s="17"/>
      <c r="BC318" s="17"/>
      <c r="BD318" s="17"/>
      <c r="BE318" s="6"/>
    </row>
    <row r="319" spans="1:57" x14ac:dyDescent="0.25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00"/>
      <c r="AB319" s="100"/>
      <c r="AC319" s="11"/>
      <c r="AD319" s="11"/>
      <c r="AE319" s="11"/>
      <c r="AF319" s="11"/>
      <c r="AG319" s="11"/>
      <c r="AH319" s="11"/>
      <c r="AI319" s="11"/>
      <c r="AJ319" s="11"/>
      <c r="AK319" s="11"/>
      <c r="AL319" s="52"/>
      <c r="AM319" s="53"/>
      <c r="AN319" s="53">
        <f t="shared" si="25"/>
        <v>9</v>
      </c>
      <c r="AO319" s="77">
        <f t="shared" si="29"/>
        <v>-10</v>
      </c>
      <c r="AP319" s="54">
        <f t="shared" si="26"/>
        <v>0</v>
      </c>
      <c r="AQ319" s="77">
        <f t="shared" si="27"/>
        <v>-10</v>
      </c>
      <c r="AR319" s="54">
        <f t="shared" si="28"/>
        <v>0.01</v>
      </c>
      <c r="AS319" s="15"/>
      <c r="AT319" s="15"/>
      <c r="AU319" s="16"/>
      <c r="AV319" s="17"/>
      <c r="AW319" s="16"/>
      <c r="AX319" s="15"/>
      <c r="AY319" s="19"/>
      <c r="AZ319" s="15"/>
      <c r="BA319" s="18"/>
      <c r="BB319" s="17"/>
      <c r="BC319" s="17"/>
      <c r="BD319" s="17"/>
      <c r="BE319" s="6"/>
    </row>
    <row r="320" spans="1:57" x14ac:dyDescent="0.25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00"/>
      <c r="AB320" s="100"/>
      <c r="AC320" s="11"/>
      <c r="AD320" s="11"/>
      <c r="AE320" s="11"/>
      <c r="AF320" s="11"/>
      <c r="AG320" s="11"/>
      <c r="AH320" s="11"/>
      <c r="AI320" s="11"/>
      <c r="AJ320" s="11"/>
      <c r="AK320" s="11"/>
      <c r="AL320" s="57"/>
      <c r="AM320" s="80"/>
      <c r="AN320" s="80">
        <f t="shared" si="25"/>
        <v>9</v>
      </c>
      <c r="AO320" s="81">
        <f t="shared" si="29"/>
        <v>-10</v>
      </c>
      <c r="AP320" s="82">
        <f t="shared" si="26"/>
        <v>0</v>
      </c>
      <c r="AQ320" s="81">
        <f t="shared" si="27"/>
        <v>-10</v>
      </c>
      <c r="AR320" s="82">
        <f t="shared" si="28"/>
        <v>0.01</v>
      </c>
      <c r="AS320" s="15"/>
      <c r="AT320" s="15"/>
      <c r="AU320" s="16"/>
      <c r="AV320" s="17"/>
      <c r="AW320" s="16"/>
      <c r="AX320" s="15"/>
      <c r="AY320" s="19"/>
      <c r="AZ320" s="15"/>
      <c r="BA320" s="18"/>
      <c r="BB320" s="17"/>
      <c r="BC320" s="17"/>
      <c r="BD320" s="17"/>
      <c r="BE320" s="6"/>
    </row>
    <row r="321" spans="1:57" x14ac:dyDescent="0.25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00"/>
      <c r="AB321" s="100"/>
      <c r="AC321" s="11"/>
      <c r="AD321" s="11"/>
      <c r="AE321" s="11"/>
      <c r="AF321" s="11"/>
      <c r="AG321" s="11"/>
      <c r="AH321" s="11"/>
      <c r="AI321" s="11"/>
      <c r="AJ321" s="11"/>
      <c r="AK321" s="11"/>
      <c r="AL321" s="52"/>
      <c r="AM321" s="53"/>
      <c r="AN321" s="53">
        <f t="shared" si="25"/>
        <v>9</v>
      </c>
      <c r="AO321" s="77">
        <f t="shared" si="29"/>
        <v>-10</v>
      </c>
      <c r="AP321" s="54">
        <f t="shared" si="26"/>
        <v>0</v>
      </c>
      <c r="AQ321" s="77">
        <f t="shared" si="27"/>
        <v>-10</v>
      </c>
      <c r="AR321" s="54">
        <f t="shared" si="28"/>
        <v>0.01</v>
      </c>
      <c r="AS321" s="15"/>
      <c r="AT321" s="15"/>
      <c r="AU321" s="16"/>
      <c r="AV321" s="17"/>
      <c r="AW321" s="16"/>
      <c r="AX321" s="15"/>
      <c r="AY321" s="19"/>
      <c r="AZ321" s="15"/>
      <c r="BA321" s="18"/>
      <c r="BB321" s="17"/>
      <c r="BC321" s="17"/>
      <c r="BD321" s="17"/>
      <c r="BE321" s="6"/>
    </row>
    <row r="322" spans="1:57" x14ac:dyDescent="0.25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00"/>
      <c r="AB322" s="100"/>
      <c r="AC322" s="11"/>
      <c r="AD322" s="11"/>
      <c r="AE322" s="11"/>
      <c r="AF322" s="11"/>
      <c r="AG322" s="11"/>
      <c r="AH322" s="11"/>
      <c r="AI322" s="11"/>
      <c r="AJ322" s="11"/>
      <c r="AK322" s="11"/>
      <c r="AL322" s="57"/>
      <c r="AM322" s="80"/>
      <c r="AN322" s="80">
        <f t="shared" si="25"/>
        <v>9</v>
      </c>
      <c r="AO322" s="81">
        <f t="shared" si="29"/>
        <v>-10</v>
      </c>
      <c r="AP322" s="82">
        <f t="shared" si="26"/>
        <v>0</v>
      </c>
      <c r="AQ322" s="81">
        <f t="shared" si="27"/>
        <v>-10</v>
      </c>
      <c r="AR322" s="82">
        <f t="shared" si="28"/>
        <v>0.01</v>
      </c>
      <c r="AS322" s="15"/>
      <c r="AT322" s="15"/>
      <c r="AU322" s="16"/>
      <c r="AV322" s="17"/>
      <c r="AW322" s="16"/>
      <c r="AX322" s="15"/>
      <c r="AY322" s="19"/>
      <c r="AZ322" s="15"/>
      <c r="BA322" s="18"/>
      <c r="BB322" s="17"/>
      <c r="BC322" s="17"/>
      <c r="BD322" s="17"/>
      <c r="BE322" s="6"/>
    </row>
    <row r="323" spans="1:57" x14ac:dyDescent="0.25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00"/>
      <c r="AB323" s="100"/>
      <c r="AC323" s="11"/>
      <c r="AD323" s="11"/>
      <c r="AE323" s="11"/>
      <c r="AF323" s="11"/>
      <c r="AG323" s="11"/>
      <c r="AH323" s="11"/>
      <c r="AI323" s="11"/>
      <c r="AJ323" s="11"/>
      <c r="AK323" s="11"/>
      <c r="AL323" s="52"/>
      <c r="AM323" s="53"/>
      <c r="AN323" s="53">
        <f t="shared" ref="AN323:AN386" si="30">AN322</f>
        <v>9</v>
      </c>
      <c r="AO323" s="77">
        <f t="shared" si="29"/>
        <v>-10</v>
      </c>
      <c r="AP323" s="54">
        <f t="shared" si="26"/>
        <v>0</v>
      </c>
      <c r="AQ323" s="77">
        <f t="shared" si="27"/>
        <v>-10</v>
      </c>
      <c r="AR323" s="54">
        <f t="shared" si="28"/>
        <v>0.01</v>
      </c>
      <c r="AS323" s="15"/>
      <c r="AT323" s="15"/>
      <c r="AU323" s="16"/>
      <c r="AV323" s="17"/>
      <c r="AW323" s="16"/>
      <c r="AX323" s="15"/>
      <c r="AY323" s="19"/>
      <c r="AZ323" s="15"/>
      <c r="BA323" s="18"/>
      <c r="BB323" s="17"/>
      <c r="BC323" s="17"/>
      <c r="BD323" s="17"/>
      <c r="BE323" s="6"/>
    </row>
    <row r="324" spans="1:57" x14ac:dyDescent="0.25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00"/>
      <c r="AB324" s="100"/>
      <c r="AC324" s="11"/>
      <c r="AD324" s="11"/>
      <c r="AE324" s="11"/>
      <c r="AF324" s="11"/>
      <c r="AG324" s="11"/>
      <c r="AH324" s="11"/>
      <c r="AI324" s="11"/>
      <c r="AJ324" s="11"/>
      <c r="AK324" s="11"/>
      <c r="AL324" s="57"/>
      <c r="AM324" s="80"/>
      <c r="AN324" s="80">
        <f t="shared" si="30"/>
        <v>9</v>
      </c>
      <c r="AO324" s="81">
        <f t="shared" si="29"/>
        <v>-10</v>
      </c>
      <c r="AP324" s="82">
        <f t="shared" si="26"/>
        <v>0</v>
      </c>
      <c r="AQ324" s="81">
        <f t="shared" si="27"/>
        <v>-10</v>
      </c>
      <c r="AR324" s="82">
        <f t="shared" si="28"/>
        <v>0.01</v>
      </c>
      <c r="AS324" s="15"/>
      <c r="AT324" s="15"/>
      <c r="AU324" s="16"/>
      <c r="AV324" s="17"/>
      <c r="AW324" s="16"/>
      <c r="AX324" s="15"/>
      <c r="AY324" s="19"/>
      <c r="AZ324" s="15"/>
      <c r="BA324" s="18"/>
      <c r="BB324" s="17"/>
      <c r="BC324" s="17"/>
      <c r="BD324" s="17"/>
      <c r="BE324" s="6"/>
    </row>
    <row r="325" spans="1:57" x14ac:dyDescent="0.25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00"/>
      <c r="AB325" s="100"/>
      <c r="AC325" s="11"/>
      <c r="AD325" s="11"/>
      <c r="AE325" s="11"/>
      <c r="AF325" s="11"/>
      <c r="AG325" s="11"/>
      <c r="AH325" s="11"/>
      <c r="AI325" s="11"/>
      <c r="AJ325" s="11"/>
      <c r="AK325" s="11"/>
      <c r="AL325" s="52"/>
      <c r="AM325" s="53"/>
      <c r="AN325" s="53">
        <f t="shared" si="30"/>
        <v>9</v>
      </c>
      <c r="AO325" s="77">
        <f t="shared" si="29"/>
        <v>-10</v>
      </c>
      <c r="AP325" s="54">
        <f t="shared" si="26"/>
        <v>0</v>
      </c>
      <c r="AQ325" s="77">
        <f t="shared" si="27"/>
        <v>-10</v>
      </c>
      <c r="AR325" s="54">
        <f t="shared" si="28"/>
        <v>0.01</v>
      </c>
      <c r="AS325" s="15"/>
      <c r="AT325" s="15"/>
      <c r="AU325" s="16"/>
      <c r="AV325" s="17"/>
      <c r="AW325" s="16"/>
      <c r="AX325" s="15"/>
      <c r="AY325" s="19"/>
      <c r="AZ325" s="15"/>
      <c r="BA325" s="18"/>
      <c r="BB325" s="17"/>
      <c r="BC325" s="17"/>
      <c r="BD325" s="17"/>
      <c r="BE325" s="6"/>
    </row>
    <row r="326" spans="1:57" x14ac:dyDescent="0.25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00"/>
      <c r="AB326" s="100"/>
      <c r="AC326" s="11"/>
      <c r="AD326" s="11"/>
      <c r="AE326" s="11"/>
      <c r="AF326" s="11"/>
      <c r="AG326" s="11"/>
      <c r="AH326" s="11"/>
      <c r="AI326" s="11"/>
      <c r="AJ326" s="11"/>
      <c r="AK326" s="11"/>
      <c r="AL326" s="57"/>
      <c r="AM326" s="80"/>
      <c r="AN326" s="80">
        <f t="shared" si="30"/>
        <v>9</v>
      </c>
      <c r="AO326" s="81">
        <f t="shared" si="29"/>
        <v>-10</v>
      </c>
      <c r="AP326" s="82">
        <f t="shared" si="26"/>
        <v>0</v>
      </c>
      <c r="AQ326" s="81">
        <f t="shared" si="27"/>
        <v>-10</v>
      </c>
      <c r="AR326" s="82">
        <f t="shared" si="28"/>
        <v>0.01</v>
      </c>
      <c r="AS326" s="15"/>
      <c r="AT326" s="15"/>
      <c r="AU326" s="16"/>
      <c r="AV326" s="17"/>
      <c r="AW326" s="16"/>
      <c r="AX326" s="15"/>
      <c r="AY326" s="19"/>
      <c r="AZ326" s="15"/>
      <c r="BA326" s="18"/>
      <c r="BB326" s="17"/>
      <c r="BC326" s="17"/>
      <c r="BD326" s="17"/>
      <c r="BE326" s="6"/>
    </row>
    <row r="327" spans="1:57" x14ac:dyDescent="0.25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00"/>
      <c r="AB327" s="100"/>
      <c r="AC327" s="11"/>
      <c r="AD327" s="11"/>
      <c r="AE327" s="11"/>
      <c r="AF327" s="11"/>
      <c r="AG327" s="11"/>
      <c r="AH327" s="11"/>
      <c r="AI327" s="11"/>
      <c r="AJ327" s="11"/>
      <c r="AK327" s="11"/>
      <c r="AL327" s="52"/>
      <c r="AM327" s="53"/>
      <c r="AN327" s="53">
        <f t="shared" si="30"/>
        <v>9</v>
      </c>
      <c r="AO327" s="77">
        <f t="shared" si="29"/>
        <v>-10</v>
      </c>
      <c r="AP327" s="54">
        <f t="shared" si="26"/>
        <v>0</v>
      </c>
      <c r="AQ327" s="77">
        <f t="shared" si="27"/>
        <v>-10</v>
      </c>
      <c r="AR327" s="54">
        <f t="shared" si="28"/>
        <v>0.01</v>
      </c>
      <c r="AS327" s="15"/>
      <c r="AT327" s="15"/>
      <c r="AU327" s="16"/>
      <c r="AV327" s="17"/>
      <c r="AW327" s="16"/>
      <c r="AX327" s="15"/>
      <c r="AY327" s="19"/>
      <c r="AZ327" s="15"/>
      <c r="BA327" s="18"/>
      <c r="BB327" s="17"/>
      <c r="BC327" s="17"/>
      <c r="BD327" s="17"/>
      <c r="BE327" s="6"/>
    </row>
    <row r="328" spans="1:57" x14ac:dyDescent="0.25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00"/>
      <c r="AB328" s="100"/>
      <c r="AC328" s="11"/>
      <c r="AD328" s="11"/>
      <c r="AE328" s="11"/>
      <c r="AF328" s="11"/>
      <c r="AG328" s="11"/>
      <c r="AH328" s="11"/>
      <c r="AI328" s="11"/>
      <c r="AJ328" s="11"/>
      <c r="AK328" s="11"/>
      <c r="AL328" s="57"/>
      <c r="AM328" s="80"/>
      <c r="AN328" s="80">
        <f t="shared" si="30"/>
        <v>9</v>
      </c>
      <c r="AO328" s="81">
        <f t="shared" si="29"/>
        <v>-10</v>
      </c>
      <c r="AP328" s="82">
        <f t="shared" si="26"/>
        <v>0</v>
      </c>
      <c r="AQ328" s="81">
        <f t="shared" si="27"/>
        <v>-10</v>
      </c>
      <c r="AR328" s="82">
        <f t="shared" si="28"/>
        <v>0.01</v>
      </c>
      <c r="AS328" s="15"/>
      <c r="AT328" s="15"/>
      <c r="AU328" s="16"/>
      <c r="AV328" s="17"/>
      <c r="AW328" s="16"/>
      <c r="AX328" s="15"/>
      <c r="AY328" s="19"/>
      <c r="AZ328" s="15"/>
      <c r="BA328" s="18"/>
      <c r="BB328" s="17"/>
      <c r="BC328" s="17"/>
      <c r="BD328" s="17"/>
      <c r="BE328" s="6"/>
    </row>
    <row r="329" spans="1:57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00"/>
      <c r="AB329" s="100"/>
      <c r="AC329" s="11"/>
      <c r="AD329" s="11"/>
      <c r="AE329" s="11"/>
      <c r="AF329" s="11"/>
      <c r="AG329" s="11"/>
      <c r="AH329" s="11"/>
      <c r="AI329" s="11"/>
      <c r="AJ329" s="11"/>
      <c r="AK329" s="11"/>
      <c r="AL329" s="52"/>
      <c r="AM329" s="53"/>
      <c r="AN329" s="53">
        <f t="shared" si="30"/>
        <v>9</v>
      </c>
      <c r="AO329" s="77">
        <f t="shared" si="29"/>
        <v>-10</v>
      </c>
      <c r="AP329" s="54">
        <f t="shared" si="26"/>
        <v>0</v>
      </c>
      <c r="AQ329" s="77">
        <f t="shared" si="27"/>
        <v>-10</v>
      </c>
      <c r="AR329" s="54">
        <f t="shared" si="28"/>
        <v>0.01</v>
      </c>
      <c r="AS329" s="15"/>
      <c r="AT329" s="15"/>
      <c r="AU329" s="16"/>
      <c r="AV329" s="17"/>
      <c r="AW329" s="16"/>
      <c r="AX329" s="15"/>
      <c r="AY329" s="19"/>
      <c r="AZ329" s="15"/>
      <c r="BA329" s="18"/>
      <c r="BB329" s="17"/>
      <c r="BC329" s="17"/>
      <c r="BD329" s="17"/>
      <c r="BE329" s="6"/>
    </row>
    <row r="330" spans="1:57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00"/>
      <c r="AB330" s="100"/>
      <c r="AC330" s="11"/>
      <c r="AD330" s="11"/>
      <c r="AE330" s="11"/>
      <c r="AF330" s="11"/>
      <c r="AG330" s="11"/>
      <c r="AH330" s="11"/>
      <c r="AI330" s="11"/>
      <c r="AJ330" s="11"/>
      <c r="AK330" s="11"/>
      <c r="AL330" s="57"/>
      <c r="AM330" s="80"/>
      <c r="AN330" s="80">
        <f t="shared" si="30"/>
        <v>9</v>
      </c>
      <c r="AO330" s="81">
        <f t="shared" si="29"/>
        <v>-10</v>
      </c>
      <c r="AP330" s="82">
        <f t="shared" ref="AP330:AP393" si="31">AR330*(1-(AO330/AQ330))^2</f>
        <v>0</v>
      </c>
      <c r="AQ330" s="81">
        <f t="shared" ref="AQ330:AQ393" si="32">AQ329</f>
        <v>-10</v>
      </c>
      <c r="AR330" s="82">
        <f t="shared" ref="AR330:AR393" si="33">AR329</f>
        <v>0.01</v>
      </c>
      <c r="AS330" s="15"/>
      <c r="AT330" s="15"/>
      <c r="AU330" s="16"/>
      <c r="AV330" s="17"/>
      <c r="AW330" s="16"/>
      <c r="AX330" s="15"/>
      <c r="AY330" s="19"/>
      <c r="AZ330" s="15"/>
      <c r="BA330" s="18"/>
      <c r="BB330" s="17"/>
      <c r="BC330" s="17"/>
      <c r="BD330" s="17"/>
      <c r="BE330" s="6"/>
    </row>
    <row r="331" spans="1:57" x14ac:dyDescent="0.25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00"/>
      <c r="AB331" s="100"/>
      <c r="AC331" s="11"/>
      <c r="AD331" s="11"/>
      <c r="AE331" s="11"/>
      <c r="AF331" s="11"/>
      <c r="AG331" s="11"/>
      <c r="AH331" s="11"/>
      <c r="AI331" s="11"/>
      <c r="AJ331" s="11"/>
      <c r="AK331" s="11"/>
      <c r="AL331" s="52"/>
      <c r="AM331" s="53"/>
      <c r="AN331" s="53">
        <f t="shared" si="30"/>
        <v>9</v>
      </c>
      <c r="AO331" s="77">
        <f t="shared" si="29"/>
        <v>-10</v>
      </c>
      <c r="AP331" s="54">
        <f t="shared" si="31"/>
        <v>0</v>
      </c>
      <c r="AQ331" s="77">
        <f t="shared" si="32"/>
        <v>-10</v>
      </c>
      <c r="AR331" s="54">
        <f t="shared" si="33"/>
        <v>0.01</v>
      </c>
      <c r="AS331" s="15"/>
      <c r="AT331" s="15"/>
      <c r="AU331" s="16"/>
      <c r="AV331" s="17"/>
      <c r="AW331" s="16"/>
      <c r="AX331" s="15"/>
      <c r="AY331" s="19"/>
      <c r="AZ331" s="15"/>
      <c r="BA331" s="18"/>
      <c r="BB331" s="17"/>
      <c r="BC331" s="17"/>
      <c r="BD331" s="17"/>
      <c r="BE331" s="6"/>
    </row>
    <row r="332" spans="1:57" x14ac:dyDescent="0.25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00"/>
      <c r="AB332" s="100"/>
      <c r="AC332" s="11"/>
      <c r="AD332" s="11"/>
      <c r="AE332" s="11"/>
      <c r="AF332" s="11"/>
      <c r="AG332" s="11"/>
      <c r="AH332" s="11"/>
      <c r="AI332" s="11"/>
      <c r="AJ332" s="11"/>
      <c r="AK332" s="11"/>
      <c r="AL332" s="57"/>
      <c r="AM332" s="80"/>
      <c r="AN332" s="80">
        <f t="shared" si="30"/>
        <v>9</v>
      </c>
      <c r="AO332" s="81">
        <f t="shared" si="29"/>
        <v>-10</v>
      </c>
      <c r="AP332" s="82">
        <f t="shared" si="31"/>
        <v>0</v>
      </c>
      <c r="AQ332" s="81">
        <f t="shared" si="32"/>
        <v>-10</v>
      </c>
      <c r="AR332" s="82">
        <f t="shared" si="33"/>
        <v>0.01</v>
      </c>
      <c r="AS332" s="15"/>
      <c r="AT332" s="15"/>
      <c r="AU332" s="16"/>
      <c r="AV332" s="17"/>
      <c r="AW332" s="16"/>
      <c r="AX332" s="15"/>
      <c r="AY332" s="19"/>
      <c r="AZ332" s="15"/>
      <c r="BA332" s="18"/>
      <c r="BB332" s="17"/>
      <c r="BC332" s="17"/>
      <c r="BD332" s="17"/>
      <c r="BE332" s="6"/>
    </row>
    <row r="333" spans="1:57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00"/>
      <c r="AB333" s="100"/>
      <c r="AC333" s="11"/>
      <c r="AD333" s="11"/>
      <c r="AE333" s="11"/>
      <c r="AF333" s="11"/>
      <c r="AG333" s="11"/>
      <c r="AH333" s="11"/>
      <c r="AI333" s="11"/>
      <c r="AJ333" s="11"/>
      <c r="AK333" s="11"/>
      <c r="AL333" s="52"/>
      <c r="AM333" s="53"/>
      <c r="AN333" s="53">
        <f t="shared" si="30"/>
        <v>9</v>
      </c>
      <c r="AO333" s="77">
        <f t="shared" si="29"/>
        <v>-10</v>
      </c>
      <c r="AP333" s="54">
        <f t="shared" si="31"/>
        <v>0</v>
      </c>
      <c r="AQ333" s="77">
        <f t="shared" si="32"/>
        <v>-10</v>
      </c>
      <c r="AR333" s="54">
        <f t="shared" si="33"/>
        <v>0.01</v>
      </c>
      <c r="AS333" s="15"/>
      <c r="AT333" s="15"/>
      <c r="AU333" s="16"/>
      <c r="AV333" s="17"/>
      <c r="AW333" s="16"/>
      <c r="AX333" s="15"/>
      <c r="AY333" s="19"/>
      <c r="AZ333" s="15"/>
      <c r="BA333" s="18"/>
      <c r="BB333" s="17"/>
      <c r="BC333" s="17"/>
      <c r="BD333" s="17"/>
      <c r="BE333" s="6"/>
    </row>
    <row r="334" spans="1:57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00"/>
      <c r="AB334" s="100"/>
      <c r="AC334" s="11"/>
      <c r="AD334" s="11"/>
      <c r="AE334" s="11"/>
      <c r="AF334" s="11"/>
      <c r="AG334" s="11"/>
      <c r="AH334" s="11"/>
      <c r="AI334" s="11"/>
      <c r="AJ334" s="11"/>
      <c r="AK334" s="11"/>
      <c r="AL334" s="57"/>
      <c r="AM334" s="80"/>
      <c r="AN334" s="80">
        <f t="shared" si="30"/>
        <v>9</v>
      </c>
      <c r="AO334" s="81">
        <f t="shared" si="29"/>
        <v>-10</v>
      </c>
      <c r="AP334" s="82">
        <f t="shared" si="31"/>
        <v>0</v>
      </c>
      <c r="AQ334" s="81">
        <f t="shared" si="32"/>
        <v>-10</v>
      </c>
      <c r="AR334" s="82">
        <f t="shared" si="33"/>
        <v>0.01</v>
      </c>
      <c r="AS334" s="15"/>
      <c r="AT334" s="15"/>
      <c r="AU334" s="16"/>
      <c r="AV334" s="17"/>
      <c r="AW334" s="16"/>
      <c r="AX334" s="15"/>
      <c r="AY334" s="19"/>
      <c r="AZ334" s="15"/>
      <c r="BA334" s="18"/>
      <c r="BB334" s="17"/>
      <c r="BC334" s="17"/>
      <c r="BD334" s="17"/>
      <c r="BE334" s="6"/>
    </row>
    <row r="335" spans="1:57" x14ac:dyDescent="0.25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00"/>
      <c r="AB335" s="100"/>
      <c r="AC335" s="11"/>
      <c r="AD335" s="11"/>
      <c r="AE335" s="11"/>
      <c r="AF335" s="11"/>
      <c r="AG335" s="11"/>
      <c r="AH335" s="11"/>
      <c r="AI335" s="11"/>
      <c r="AJ335" s="11"/>
      <c r="AK335" s="11"/>
      <c r="AL335" s="52"/>
      <c r="AM335" s="53"/>
      <c r="AN335" s="53">
        <f t="shared" si="30"/>
        <v>9</v>
      </c>
      <c r="AO335" s="77">
        <f t="shared" si="29"/>
        <v>-10</v>
      </c>
      <c r="AP335" s="54">
        <f t="shared" si="31"/>
        <v>0</v>
      </c>
      <c r="AQ335" s="77">
        <f t="shared" si="32"/>
        <v>-10</v>
      </c>
      <c r="AR335" s="54">
        <f t="shared" si="33"/>
        <v>0.01</v>
      </c>
      <c r="AS335" s="15"/>
      <c r="AT335" s="15"/>
      <c r="AU335" s="16"/>
      <c r="AV335" s="17"/>
      <c r="AW335" s="16"/>
      <c r="AX335" s="15"/>
      <c r="AY335" s="19"/>
      <c r="AZ335" s="15"/>
      <c r="BA335" s="18"/>
      <c r="BB335" s="17"/>
      <c r="BC335" s="17"/>
      <c r="BD335" s="17"/>
      <c r="BE335" s="6"/>
    </row>
    <row r="336" spans="1:57" x14ac:dyDescent="0.25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00"/>
      <c r="AB336" s="100"/>
      <c r="AC336" s="11"/>
      <c r="AD336" s="11"/>
      <c r="AE336" s="11"/>
      <c r="AF336" s="11"/>
      <c r="AG336" s="11"/>
      <c r="AH336" s="11"/>
      <c r="AI336" s="11"/>
      <c r="AJ336" s="11"/>
      <c r="AK336" s="11"/>
      <c r="AL336" s="57"/>
      <c r="AM336" s="80"/>
      <c r="AN336" s="80">
        <f t="shared" si="30"/>
        <v>9</v>
      </c>
      <c r="AO336" s="81">
        <f t="shared" si="29"/>
        <v>-10</v>
      </c>
      <c r="AP336" s="82">
        <f t="shared" si="31"/>
        <v>0</v>
      </c>
      <c r="AQ336" s="81">
        <f t="shared" si="32"/>
        <v>-10</v>
      </c>
      <c r="AR336" s="82">
        <f t="shared" si="33"/>
        <v>0.01</v>
      </c>
      <c r="AS336" s="15"/>
      <c r="AT336" s="15"/>
      <c r="AU336" s="16"/>
      <c r="AV336" s="17"/>
      <c r="AW336" s="16"/>
      <c r="AX336" s="15"/>
      <c r="AY336" s="19"/>
      <c r="AZ336" s="15"/>
      <c r="BA336" s="18"/>
      <c r="BB336" s="17"/>
      <c r="BC336" s="17"/>
      <c r="BD336" s="17"/>
      <c r="BE336" s="6"/>
    </row>
    <row r="337" spans="1:57" x14ac:dyDescent="0.25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00"/>
      <c r="AB337" s="100"/>
      <c r="AC337" s="11"/>
      <c r="AD337" s="11"/>
      <c r="AE337" s="11"/>
      <c r="AF337" s="11"/>
      <c r="AG337" s="11"/>
      <c r="AH337" s="11"/>
      <c r="AI337" s="11"/>
      <c r="AJ337" s="11"/>
      <c r="AK337" s="11"/>
      <c r="AL337" s="52"/>
      <c r="AM337" s="53"/>
      <c r="AN337" s="53">
        <f t="shared" si="30"/>
        <v>9</v>
      </c>
      <c r="AO337" s="77">
        <f t="shared" si="29"/>
        <v>-10</v>
      </c>
      <c r="AP337" s="54">
        <f t="shared" si="31"/>
        <v>0</v>
      </c>
      <c r="AQ337" s="77">
        <f t="shared" si="32"/>
        <v>-10</v>
      </c>
      <c r="AR337" s="54">
        <f t="shared" si="33"/>
        <v>0.01</v>
      </c>
      <c r="AS337" s="15"/>
      <c r="AT337" s="15"/>
      <c r="AU337" s="16"/>
      <c r="AV337" s="17"/>
      <c r="AW337" s="16"/>
      <c r="AX337" s="15"/>
      <c r="AY337" s="19"/>
      <c r="AZ337" s="15"/>
      <c r="BA337" s="18"/>
      <c r="BB337" s="17"/>
      <c r="BC337" s="17"/>
      <c r="BD337" s="17"/>
      <c r="BE337" s="6"/>
    </row>
    <row r="338" spans="1:57" x14ac:dyDescent="0.25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00"/>
      <c r="AB338" s="100"/>
      <c r="AC338" s="11"/>
      <c r="AD338" s="11"/>
      <c r="AE338" s="11"/>
      <c r="AF338" s="11"/>
      <c r="AG338" s="11"/>
      <c r="AH338" s="11"/>
      <c r="AI338" s="11"/>
      <c r="AJ338" s="11"/>
      <c r="AK338" s="11"/>
      <c r="AL338" s="57"/>
      <c r="AM338" s="80"/>
      <c r="AN338" s="80">
        <f t="shared" si="30"/>
        <v>9</v>
      </c>
      <c r="AO338" s="81">
        <f t="shared" si="29"/>
        <v>-10</v>
      </c>
      <c r="AP338" s="82">
        <f t="shared" si="31"/>
        <v>0</v>
      </c>
      <c r="AQ338" s="81">
        <f t="shared" si="32"/>
        <v>-10</v>
      </c>
      <c r="AR338" s="82">
        <f t="shared" si="33"/>
        <v>0.01</v>
      </c>
      <c r="AS338" s="15"/>
      <c r="AT338" s="15"/>
      <c r="AU338" s="16"/>
      <c r="AV338" s="17"/>
      <c r="AW338" s="16"/>
      <c r="AX338" s="15"/>
      <c r="AY338" s="19"/>
      <c r="AZ338" s="15"/>
      <c r="BA338" s="18"/>
      <c r="BB338" s="17"/>
      <c r="BC338" s="17"/>
      <c r="BD338" s="17"/>
      <c r="BE338" s="6"/>
    </row>
    <row r="339" spans="1:57" x14ac:dyDescent="0.25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00"/>
      <c r="AB339" s="100"/>
      <c r="AC339" s="11"/>
      <c r="AD339" s="11"/>
      <c r="AE339" s="11"/>
      <c r="AF339" s="11"/>
      <c r="AG339" s="11"/>
      <c r="AH339" s="11"/>
      <c r="AI339" s="11"/>
      <c r="AJ339" s="11"/>
      <c r="AK339" s="11"/>
      <c r="AL339" s="52"/>
      <c r="AM339" s="53"/>
      <c r="AN339" s="53">
        <f t="shared" si="30"/>
        <v>9</v>
      </c>
      <c r="AO339" s="77">
        <f t="shared" si="29"/>
        <v>-10</v>
      </c>
      <c r="AP339" s="54">
        <f t="shared" si="31"/>
        <v>0</v>
      </c>
      <c r="AQ339" s="77">
        <f t="shared" si="32"/>
        <v>-10</v>
      </c>
      <c r="AR339" s="54">
        <f t="shared" si="33"/>
        <v>0.01</v>
      </c>
      <c r="AS339" s="15"/>
      <c r="AT339" s="15"/>
      <c r="AU339" s="16"/>
      <c r="AV339" s="17"/>
      <c r="AW339" s="16"/>
      <c r="AX339" s="15"/>
      <c r="AY339" s="19"/>
      <c r="AZ339" s="15"/>
      <c r="BA339" s="18"/>
      <c r="BB339" s="17"/>
      <c r="BC339" s="17"/>
      <c r="BD339" s="17"/>
      <c r="BE339" s="6"/>
    </row>
    <row r="340" spans="1:57" x14ac:dyDescent="0.25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00"/>
      <c r="AB340" s="100"/>
      <c r="AC340" s="11"/>
      <c r="AD340" s="11"/>
      <c r="AE340" s="11"/>
      <c r="AF340" s="11"/>
      <c r="AG340" s="11"/>
      <c r="AH340" s="11"/>
      <c r="AI340" s="11"/>
      <c r="AJ340" s="11"/>
      <c r="AK340" s="11"/>
      <c r="AL340" s="57"/>
      <c r="AM340" s="80"/>
      <c r="AN340" s="80">
        <f t="shared" si="30"/>
        <v>9</v>
      </c>
      <c r="AO340" s="81">
        <f t="shared" si="29"/>
        <v>-10</v>
      </c>
      <c r="AP340" s="82">
        <f t="shared" si="31"/>
        <v>0</v>
      </c>
      <c r="AQ340" s="81">
        <f t="shared" si="32"/>
        <v>-10</v>
      </c>
      <c r="AR340" s="82">
        <f t="shared" si="33"/>
        <v>0.01</v>
      </c>
      <c r="AS340" s="15"/>
      <c r="AT340" s="15"/>
      <c r="AU340" s="16"/>
      <c r="AV340" s="17"/>
      <c r="AW340" s="16"/>
      <c r="AX340" s="15"/>
      <c r="AY340" s="19"/>
      <c r="AZ340" s="15"/>
      <c r="BA340" s="18"/>
      <c r="BB340" s="17"/>
      <c r="BC340" s="17"/>
      <c r="BD340" s="17"/>
      <c r="BE340" s="6"/>
    </row>
    <row r="341" spans="1:57" x14ac:dyDescent="0.25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00"/>
      <c r="AB341" s="100"/>
      <c r="AC341" s="11"/>
      <c r="AD341" s="11"/>
      <c r="AE341" s="11"/>
      <c r="AF341" s="11"/>
      <c r="AG341" s="11"/>
      <c r="AH341" s="11"/>
      <c r="AI341" s="11"/>
      <c r="AJ341" s="11"/>
      <c r="AK341" s="11"/>
      <c r="AL341" s="52"/>
      <c r="AM341" s="53"/>
      <c r="AN341" s="53">
        <f t="shared" si="30"/>
        <v>9</v>
      </c>
      <c r="AO341" s="77">
        <f t="shared" si="29"/>
        <v>-10</v>
      </c>
      <c r="AP341" s="54">
        <f t="shared" si="31"/>
        <v>0</v>
      </c>
      <c r="AQ341" s="77">
        <f t="shared" si="32"/>
        <v>-10</v>
      </c>
      <c r="AR341" s="54">
        <f t="shared" si="33"/>
        <v>0.01</v>
      </c>
      <c r="AS341" s="15"/>
      <c r="AT341" s="15"/>
      <c r="AU341" s="16"/>
      <c r="AV341" s="17"/>
      <c r="AW341" s="16"/>
      <c r="AX341" s="15"/>
      <c r="AY341" s="19"/>
      <c r="AZ341" s="15"/>
      <c r="BA341" s="18"/>
      <c r="BB341" s="17"/>
      <c r="BC341" s="17"/>
      <c r="BD341" s="17"/>
      <c r="BE341" s="6"/>
    </row>
    <row r="342" spans="1:57" x14ac:dyDescent="0.25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00"/>
      <c r="AB342" s="100"/>
      <c r="AC342" s="11"/>
      <c r="AD342" s="11"/>
      <c r="AE342" s="11"/>
      <c r="AF342" s="11"/>
      <c r="AG342" s="11"/>
      <c r="AH342" s="11"/>
      <c r="AI342" s="11"/>
      <c r="AJ342" s="11"/>
      <c r="AK342" s="11"/>
      <c r="AL342" s="57"/>
      <c r="AM342" s="80"/>
      <c r="AN342" s="80">
        <f t="shared" si="30"/>
        <v>9</v>
      </c>
      <c r="AO342" s="81">
        <f t="shared" si="29"/>
        <v>-10</v>
      </c>
      <c r="AP342" s="82">
        <f t="shared" si="31"/>
        <v>0</v>
      </c>
      <c r="AQ342" s="81">
        <f t="shared" si="32"/>
        <v>-10</v>
      </c>
      <c r="AR342" s="82">
        <f t="shared" si="33"/>
        <v>0.01</v>
      </c>
      <c r="AS342" s="15"/>
      <c r="AT342" s="15"/>
      <c r="AU342" s="16"/>
      <c r="AV342" s="17"/>
      <c r="AW342" s="16"/>
      <c r="AX342" s="15"/>
      <c r="AY342" s="19"/>
      <c r="AZ342" s="15"/>
      <c r="BA342" s="18"/>
      <c r="BB342" s="17"/>
      <c r="BC342" s="17"/>
      <c r="BD342" s="17"/>
      <c r="BE342" s="6"/>
    </row>
    <row r="343" spans="1:57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00"/>
      <c r="AB343" s="100"/>
      <c r="AC343" s="11"/>
      <c r="AD343" s="11"/>
      <c r="AE343" s="11"/>
      <c r="AF343" s="11"/>
      <c r="AG343" s="11"/>
      <c r="AH343" s="11"/>
      <c r="AI343" s="11"/>
      <c r="AJ343" s="11"/>
      <c r="AK343" s="11"/>
      <c r="AL343" s="52"/>
      <c r="AM343" s="53"/>
      <c r="AN343" s="53">
        <f t="shared" si="30"/>
        <v>9</v>
      </c>
      <c r="AO343" s="77">
        <f t="shared" si="29"/>
        <v>-10</v>
      </c>
      <c r="AP343" s="54">
        <f t="shared" si="31"/>
        <v>0</v>
      </c>
      <c r="AQ343" s="77">
        <f t="shared" si="32"/>
        <v>-10</v>
      </c>
      <c r="AR343" s="54">
        <f t="shared" si="33"/>
        <v>0.01</v>
      </c>
      <c r="AS343" s="15"/>
      <c r="AT343" s="15"/>
      <c r="AU343" s="16"/>
      <c r="AV343" s="17"/>
      <c r="AW343" s="16"/>
      <c r="AX343" s="15"/>
      <c r="AY343" s="19"/>
      <c r="AZ343" s="15"/>
      <c r="BA343" s="18"/>
      <c r="BB343" s="17"/>
      <c r="BC343" s="17"/>
      <c r="BD343" s="17"/>
      <c r="BE343" s="6"/>
    </row>
    <row r="344" spans="1:57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00"/>
      <c r="AB344" s="100"/>
      <c r="AC344" s="11"/>
      <c r="AD344" s="11"/>
      <c r="AE344" s="11"/>
      <c r="AF344" s="11"/>
      <c r="AG344" s="11"/>
      <c r="AH344" s="11"/>
      <c r="AI344" s="11"/>
      <c r="AJ344" s="11"/>
      <c r="AK344" s="11"/>
      <c r="AL344" s="57"/>
      <c r="AM344" s="80"/>
      <c r="AN344" s="80">
        <f t="shared" si="30"/>
        <v>9</v>
      </c>
      <c r="AO344" s="81">
        <f t="shared" si="29"/>
        <v>-10</v>
      </c>
      <c r="AP344" s="82">
        <f t="shared" si="31"/>
        <v>0</v>
      </c>
      <c r="AQ344" s="81">
        <f t="shared" si="32"/>
        <v>-10</v>
      </c>
      <c r="AR344" s="82">
        <f t="shared" si="33"/>
        <v>0.01</v>
      </c>
      <c r="AS344" s="15"/>
      <c r="AT344" s="15"/>
      <c r="AU344" s="16"/>
      <c r="AV344" s="17"/>
      <c r="AW344" s="16"/>
      <c r="AX344" s="15"/>
      <c r="AY344" s="19"/>
      <c r="AZ344" s="15"/>
      <c r="BA344" s="18"/>
      <c r="BB344" s="17"/>
      <c r="BC344" s="17"/>
      <c r="BD344" s="17"/>
      <c r="BE344" s="6"/>
    </row>
    <row r="345" spans="1:57" x14ac:dyDescent="0.25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00"/>
      <c r="AB345" s="100"/>
      <c r="AC345" s="11"/>
      <c r="AD345" s="11"/>
      <c r="AE345" s="11"/>
      <c r="AF345" s="11"/>
      <c r="AG345" s="11"/>
      <c r="AH345" s="11"/>
      <c r="AI345" s="11"/>
      <c r="AJ345" s="11"/>
      <c r="AK345" s="11"/>
      <c r="AL345" s="52"/>
      <c r="AM345" s="53"/>
      <c r="AN345" s="53">
        <f t="shared" si="30"/>
        <v>9</v>
      </c>
      <c r="AO345" s="77">
        <f t="shared" si="29"/>
        <v>-10</v>
      </c>
      <c r="AP345" s="54">
        <f t="shared" si="31"/>
        <v>0</v>
      </c>
      <c r="AQ345" s="77">
        <f t="shared" si="32"/>
        <v>-10</v>
      </c>
      <c r="AR345" s="54">
        <f t="shared" si="33"/>
        <v>0.01</v>
      </c>
      <c r="AS345" s="15"/>
      <c r="AT345" s="15"/>
      <c r="AU345" s="16"/>
      <c r="AV345" s="17"/>
      <c r="AW345" s="16"/>
      <c r="AX345" s="15"/>
      <c r="AY345" s="19"/>
      <c r="AZ345" s="15"/>
      <c r="BA345" s="18"/>
      <c r="BB345" s="17"/>
      <c r="BC345" s="17"/>
      <c r="BD345" s="17"/>
      <c r="BE345" s="6"/>
    </row>
    <row r="346" spans="1:57" x14ac:dyDescent="0.25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00"/>
      <c r="AB346" s="100"/>
      <c r="AC346" s="11"/>
      <c r="AD346" s="11"/>
      <c r="AE346" s="11"/>
      <c r="AF346" s="11"/>
      <c r="AG346" s="11"/>
      <c r="AH346" s="11"/>
      <c r="AI346" s="11"/>
      <c r="AJ346" s="11"/>
      <c r="AK346" s="11"/>
      <c r="AL346" s="57"/>
      <c r="AM346" s="80"/>
      <c r="AN346" s="80">
        <f t="shared" si="30"/>
        <v>9</v>
      </c>
      <c r="AO346" s="81">
        <f t="shared" si="29"/>
        <v>-10</v>
      </c>
      <c r="AP346" s="82">
        <f t="shared" si="31"/>
        <v>0</v>
      </c>
      <c r="AQ346" s="81">
        <f t="shared" si="32"/>
        <v>-10</v>
      </c>
      <c r="AR346" s="82">
        <f t="shared" si="33"/>
        <v>0.01</v>
      </c>
      <c r="AS346" s="15"/>
      <c r="AT346" s="15"/>
      <c r="AU346" s="16"/>
      <c r="AV346" s="17"/>
      <c r="AW346" s="16"/>
      <c r="AX346" s="15"/>
      <c r="AY346" s="19"/>
      <c r="AZ346" s="15"/>
      <c r="BA346" s="18"/>
      <c r="BB346" s="17"/>
      <c r="BC346" s="17"/>
      <c r="BD346" s="17"/>
      <c r="BE346" s="6"/>
    </row>
    <row r="347" spans="1:57" x14ac:dyDescent="0.25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00"/>
      <c r="AB347" s="100"/>
      <c r="AC347" s="11"/>
      <c r="AD347" s="11"/>
      <c r="AE347" s="11"/>
      <c r="AF347" s="11"/>
      <c r="AG347" s="11"/>
      <c r="AH347" s="11"/>
      <c r="AI347" s="11"/>
      <c r="AJ347" s="11"/>
      <c r="AK347" s="11"/>
      <c r="AL347" s="52"/>
      <c r="AM347" s="53"/>
      <c r="AN347" s="53">
        <f t="shared" si="30"/>
        <v>9</v>
      </c>
      <c r="AO347" s="77">
        <f t="shared" si="29"/>
        <v>-10</v>
      </c>
      <c r="AP347" s="54">
        <f t="shared" si="31"/>
        <v>0</v>
      </c>
      <c r="AQ347" s="77">
        <f t="shared" si="32"/>
        <v>-10</v>
      </c>
      <c r="AR347" s="54">
        <f t="shared" si="33"/>
        <v>0.01</v>
      </c>
      <c r="AS347" s="15"/>
      <c r="AT347" s="15"/>
      <c r="AU347" s="16"/>
      <c r="AV347" s="17"/>
      <c r="AW347" s="16"/>
      <c r="AX347" s="15"/>
      <c r="AY347" s="19"/>
      <c r="AZ347" s="15"/>
      <c r="BA347" s="18"/>
      <c r="BB347" s="17"/>
      <c r="BC347" s="17"/>
      <c r="BD347" s="17"/>
      <c r="BE347" s="6"/>
    </row>
    <row r="348" spans="1:57" x14ac:dyDescent="0.25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00"/>
      <c r="AB348" s="100"/>
      <c r="AC348" s="11"/>
      <c r="AD348" s="11"/>
      <c r="AE348" s="11"/>
      <c r="AF348" s="11"/>
      <c r="AG348" s="11"/>
      <c r="AH348" s="11"/>
      <c r="AI348" s="11"/>
      <c r="AJ348" s="11"/>
      <c r="AK348" s="11"/>
      <c r="AL348" s="57"/>
      <c r="AM348" s="80"/>
      <c r="AN348" s="80">
        <f t="shared" si="30"/>
        <v>9</v>
      </c>
      <c r="AO348" s="81">
        <f t="shared" si="29"/>
        <v>-10</v>
      </c>
      <c r="AP348" s="82">
        <f t="shared" si="31"/>
        <v>0</v>
      </c>
      <c r="AQ348" s="81">
        <f t="shared" si="32"/>
        <v>-10</v>
      </c>
      <c r="AR348" s="82">
        <f t="shared" si="33"/>
        <v>0.01</v>
      </c>
      <c r="AS348" s="15"/>
      <c r="AT348" s="15"/>
      <c r="AU348" s="16"/>
      <c r="AV348" s="17"/>
      <c r="AW348" s="16"/>
      <c r="AX348" s="15"/>
      <c r="AY348" s="19"/>
      <c r="AZ348" s="15"/>
      <c r="BA348" s="18"/>
      <c r="BB348" s="17"/>
      <c r="BC348" s="17"/>
      <c r="BD348" s="17"/>
      <c r="BE348" s="6"/>
    </row>
    <row r="349" spans="1:57" x14ac:dyDescent="0.25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00"/>
      <c r="AB349" s="100"/>
      <c r="AC349" s="11"/>
      <c r="AD349" s="11"/>
      <c r="AE349" s="11"/>
      <c r="AF349" s="11"/>
      <c r="AG349" s="11"/>
      <c r="AH349" s="11"/>
      <c r="AI349" s="11"/>
      <c r="AJ349" s="11"/>
      <c r="AK349" s="11"/>
      <c r="AL349" s="52"/>
      <c r="AM349" s="53"/>
      <c r="AN349" s="53">
        <f t="shared" si="30"/>
        <v>9</v>
      </c>
      <c r="AO349" s="77">
        <f t="shared" si="29"/>
        <v>-10</v>
      </c>
      <c r="AP349" s="54">
        <f t="shared" si="31"/>
        <v>0</v>
      </c>
      <c r="AQ349" s="77">
        <f t="shared" si="32"/>
        <v>-10</v>
      </c>
      <c r="AR349" s="54">
        <f t="shared" si="33"/>
        <v>0.01</v>
      </c>
      <c r="AS349" s="15"/>
      <c r="AT349" s="15"/>
      <c r="AU349" s="16"/>
      <c r="AV349" s="17"/>
      <c r="AW349" s="16"/>
      <c r="AX349" s="15"/>
      <c r="AY349" s="19"/>
      <c r="AZ349" s="15"/>
      <c r="BA349" s="18"/>
      <c r="BB349" s="17"/>
      <c r="BC349" s="17"/>
      <c r="BD349" s="17"/>
      <c r="BE349" s="6"/>
    </row>
    <row r="350" spans="1:57" x14ac:dyDescent="0.25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00"/>
      <c r="AB350" s="100"/>
      <c r="AC350" s="11"/>
      <c r="AD350" s="11"/>
      <c r="AE350" s="11"/>
      <c r="AF350" s="11"/>
      <c r="AG350" s="11"/>
      <c r="AH350" s="11"/>
      <c r="AI350" s="11"/>
      <c r="AJ350" s="11"/>
      <c r="AK350" s="11"/>
      <c r="AL350" s="57"/>
      <c r="AM350" s="80"/>
      <c r="AN350" s="80">
        <f t="shared" si="30"/>
        <v>9</v>
      </c>
      <c r="AO350" s="81">
        <f t="shared" si="29"/>
        <v>-10</v>
      </c>
      <c r="AP350" s="82">
        <f t="shared" si="31"/>
        <v>0</v>
      </c>
      <c r="AQ350" s="81">
        <f t="shared" si="32"/>
        <v>-10</v>
      </c>
      <c r="AR350" s="82">
        <f t="shared" si="33"/>
        <v>0.01</v>
      </c>
      <c r="AS350" s="15"/>
      <c r="AT350" s="15"/>
      <c r="AU350" s="16"/>
      <c r="AV350" s="17"/>
      <c r="AW350" s="16"/>
      <c r="AX350" s="15"/>
      <c r="AY350" s="19"/>
      <c r="AZ350" s="15"/>
      <c r="BA350" s="18"/>
      <c r="BB350" s="17"/>
      <c r="BC350" s="17"/>
      <c r="BD350" s="17"/>
      <c r="BE350" s="6"/>
    </row>
    <row r="351" spans="1:57" x14ac:dyDescent="0.25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00"/>
      <c r="AB351" s="100"/>
      <c r="AC351" s="11"/>
      <c r="AD351" s="11"/>
      <c r="AE351" s="11"/>
      <c r="AF351" s="11"/>
      <c r="AG351" s="11"/>
      <c r="AH351" s="11"/>
      <c r="AI351" s="11"/>
      <c r="AJ351" s="11"/>
      <c r="AK351" s="11"/>
      <c r="AL351" s="52"/>
      <c r="AM351" s="53"/>
      <c r="AN351" s="53">
        <f t="shared" si="30"/>
        <v>9</v>
      </c>
      <c r="AO351" s="77">
        <f t="shared" si="29"/>
        <v>-10</v>
      </c>
      <c r="AP351" s="54">
        <f t="shared" si="31"/>
        <v>0</v>
      </c>
      <c r="AQ351" s="77">
        <f t="shared" si="32"/>
        <v>-10</v>
      </c>
      <c r="AR351" s="54">
        <f t="shared" si="33"/>
        <v>0.01</v>
      </c>
      <c r="AS351" s="15"/>
      <c r="AT351" s="15"/>
      <c r="AU351" s="16"/>
      <c r="AV351" s="17"/>
      <c r="AW351" s="16"/>
      <c r="AX351" s="15"/>
      <c r="AY351" s="19"/>
      <c r="AZ351" s="15"/>
      <c r="BA351" s="18"/>
      <c r="BB351" s="17"/>
      <c r="BC351" s="17"/>
      <c r="BD351" s="17"/>
      <c r="BE351" s="6"/>
    </row>
    <row r="352" spans="1:57" x14ac:dyDescent="0.25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00"/>
      <c r="AB352" s="100"/>
      <c r="AC352" s="11"/>
      <c r="AD352" s="11"/>
      <c r="AE352" s="11"/>
      <c r="AF352" s="11"/>
      <c r="AG352" s="11"/>
      <c r="AH352" s="11"/>
      <c r="AI352" s="11"/>
      <c r="AJ352" s="11"/>
      <c r="AK352" s="11"/>
      <c r="AL352" s="57"/>
      <c r="AM352" s="80"/>
      <c r="AN352" s="80">
        <f t="shared" si="30"/>
        <v>9</v>
      </c>
      <c r="AO352" s="81">
        <f t="shared" si="29"/>
        <v>-10</v>
      </c>
      <c r="AP352" s="82">
        <f t="shared" si="31"/>
        <v>0</v>
      </c>
      <c r="AQ352" s="81">
        <f t="shared" si="32"/>
        <v>-10</v>
      </c>
      <c r="AR352" s="82">
        <f t="shared" si="33"/>
        <v>0.01</v>
      </c>
      <c r="AS352" s="15"/>
      <c r="AT352" s="15"/>
      <c r="AU352" s="16"/>
      <c r="AV352" s="17"/>
      <c r="AW352" s="16"/>
      <c r="AX352" s="15"/>
      <c r="AY352" s="19"/>
      <c r="AZ352" s="15"/>
      <c r="BA352" s="18"/>
      <c r="BB352" s="17"/>
      <c r="BC352" s="17"/>
      <c r="BD352" s="17"/>
      <c r="BE352" s="6"/>
    </row>
    <row r="353" spans="1:57" x14ac:dyDescent="0.25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00"/>
      <c r="AB353" s="100"/>
      <c r="AC353" s="11"/>
      <c r="AD353" s="11"/>
      <c r="AE353" s="11"/>
      <c r="AF353" s="11"/>
      <c r="AG353" s="11"/>
      <c r="AH353" s="11"/>
      <c r="AI353" s="11"/>
      <c r="AJ353" s="11"/>
      <c r="AK353" s="11"/>
      <c r="AL353" s="52"/>
      <c r="AM353" s="53"/>
      <c r="AN353" s="53">
        <f t="shared" si="30"/>
        <v>9</v>
      </c>
      <c r="AO353" s="77">
        <f t="shared" si="29"/>
        <v>-10</v>
      </c>
      <c r="AP353" s="54">
        <f t="shared" si="31"/>
        <v>0</v>
      </c>
      <c r="AQ353" s="77">
        <f t="shared" si="32"/>
        <v>-10</v>
      </c>
      <c r="AR353" s="54">
        <f t="shared" si="33"/>
        <v>0.01</v>
      </c>
      <c r="AS353" s="15"/>
      <c r="AT353" s="15"/>
      <c r="AU353" s="16"/>
      <c r="AV353" s="17"/>
      <c r="AW353" s="16"/>
      <c r="AX353" s="15"/>
      <c r="AY353" s="19"/>
      <c r="AZ353" s="15"/>
      <c r="BA353" s="18"/>
      <c r="BB353" s="17"/>
      <c r="BC353" s="17"/>
      <c r="BD353" s="17"/>
      <c r="BE353" s="6"/>
    </row>
    <row r="354" spans="1:57" x14ac:dyDescent="0.25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00"/>
      <c r="AB354" s="100"/>
      <c r="AC354" s="11"/>
      <c r="AD354" s="11"/>
      <c r="AE354" s="11"/>
      <c r="AF354" s="11"/>
      <c r="AG354" s="11"/>
      <c r="AH354" s="11"/>
      <c r="AI354" s="11"/>
      <c r="AJ354" s="11"/>
      <c r="AK354" s="11"/>
      <c r="AL354" s="57"/>
      <c r="AM354" s="80"/>
      <c r="AN354" s="80">
        <f t="shared" si="30"/>
        <v>9</v>
      </c>
      <c r="AO354" s="81">
        <f t="shared" si="29"/>
        <v>-10</v>
      </c>
      <c r="AP354" s="82">
        <f t="shared" si="31"/>
        <v>0</v>
      </c>
      <c r="AQ354" s="81">
        <f t="shared" si="32"/>
        <v>-10</v>
      </c>
      <c r="AR354" s="82">
        <f t="shared" si="33"/>
        <v>0.01</v>
      </c>
      <c r="AS354" s="15"/>
      <c r="AT354" s="15"/>
      <c r="AU354" s="16"/>
      <c r="AV354" s="17"/>
      <c r="AW354" s="16"/>
      <c r="AX354" s="15"/>
      <c r="AY354" s="19"/>
      <c r="AZ354" s="15"/>
      <c r="BA354" s="18"/>
      <c r="BB354" s="17"/>
      <c r="BC354" s="17"/>
      <c r="BD354" s="17"/>
      <c r="BE354" s="6"/>
    </row>
    <row r="355" spans="1:57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00"/>
      <c r="AB355" s="100"/>
      <c r="AC355" s="11"/>
      <c r="AD355" s="11"/>
      <c r="AE355" s="11"/>
      <c r="AF355" s="11"/>
      <c r="AG355" s="11"/>
      <c r="AH355" s="11"/>
      <c r="AI355" s="11"/>
      <c r="AJ355" s="11"/>
      <c r="AK355" s="11"/>
      <c r="AL355" s="52"/>
      <c r="AM355" s="53"/>
      <c r="AN355" s="53">
        <f t="shared" si="30"/>
        <v>9</v>
      </c>
      <c r="AO355" s="77">
        <f t="shared" si="29"/>
        <v>-10</v>
      </c>
      <c r="AP355" s="54">
        <f t="shared" si="31"/>
        <v>0</v>
      </c>
      <c r="AQ355" s="77">
        <f t="shared" si="32"/>
        <v>-10</v>
      </c>
      <c r="AR355" s="54">
        <f t="shared" si="33"/>
        <v>0.01</v>
      </c>
      <c r="AS355" s="15"/>
      <c r="AT355" s="15"/>
      <c r="AU355" s="16"/>
      <c r="AV355" s="17"/>
      <c r="AW355" s="16"/>
      <c r="AX355" s="15"/>
      <c r="AY355" s="19"/>
      <c r="AZ355" s="15"/>
      <c r="BA355" s="18"/>
      <c r="BB355" s="17"/>
      <c r="BC355" s="17"/>
      <c r="BD355" s="17"/>
      <c r="BE355" s="6"/>
    </row>
    <row r="356" spans="1:57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00"/>
      <c r="AB356" s="100"/>
      <c r="AC356" s="11"/>
      <c r="AD356" s="11"/>
      <c r="AE356" s="11"/>
      <c r="AF356" s="11"/>
      <c r="AG356" s="11"/>
      <c r="AH356" s="11"/>
      <c r="AI356" s="11"/>
      <c r="AJ356" s="11"/>
      <c r="AK356" s="11"/>
      <c r="AL356" s="57"/>
      <c r="AM356" s="80"/>
      <c r="AN356" s="80">
        <f t="shared" si="30"/>
        <v>9</v>
      </c>
      <c r="AO356" s="81">
        <f t="shared" si="29"/>
        <v>-10</v>
      </c>
      <c r="AP356" s="82">
        <f t="shared" si="31"/>
        <v>0</v>
      </c>
      <c r="AQ356" s="81">
        <f t="shared" si="32"/>
        <v>-10</v>
      </c>
      <c r="AR356" s="82">
        <f t="shared" si="33"/>
        <v>0.01</v>
      </c>
      <c r="AS356" s="15"/>
      <c r="AT356" s="15"/>
      <c r="AU356" s="16"/>
      <c r="AV356" s="17"/>
      <c r="AW356" s="16"/>
      <c r="AX356" s="15"/>
      <c r="AY356" s="19"/>
      <c r="AZ356" s="15"/>
      <c r="BA356" s="18"/>
      <c r="BB356" s="17"/>
      <c r="BC356" s="17"/>
      <c r="BD356" s="17"/>
      <c r="BE356" s="6"/>
    </row>
    <row r="357" spans="1:57" x14ac:dyDescent="0.25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00"/>
      <c r="AB357" s="100"/>
      <c r="AC357" s="11"/>
      <c r="AD357" s="11"/>
      <c r="AE357" s="11"/>
      <c r="AF357" s="11"/>
      <c r="AG357" s="11"/>
      <c r="AH357" s="11"/>
      <c r="AI357" s="11"/>
      <c r="AJ357" s="11"/>
      <c r="AK357" s="11"/>
      <c r="AL357" s="52"/>
      <c r="AM357" s="53"/>
      <c r="AN357" s="53">
        <f t="shared" si="30"/>
        <v>9</v>
      </c>
      <c r="AO357" s="77">
        <f t="shared" si="29"/>
        <v>-10</v>
      </c>
      <c r="AP357" s="54">
        <f t="shared" si="31"/>
        <v>0</v>
      </c>
      <c r="AQ357" s="77">
        <f t="shared" si="32"/>
        <v>-10</v>
      </c>
      <c r="AR357" s="54">
        <f t="shared" si="33"/>
        <v>0.01</v>
      </c>
      <c r="AS357" s="15"/>
      <c r="AT357" s="15"/>
      <c r="AU357" s="16"/>
      <c r="AV357" s="17"/>
      <c r="AW357" s="16"/>
      <c r="AX357" s="15"/>
      <c r="AY357" s="19"/>
      <c r="AZ357" s="15"/>
      <c r="BA357" s="18"/>
      <c r="BB357" s="17"/>
      <c r="BC357" s="17"/>
      <c r="BD357" s="17"/>
      <c r="BE357" s="6"/>
    </row>
    <row r="358" spans="1:57" x14ac:dyDescent="0.25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00"/>
      <c r="AB358" s="100"/>
      <c r="AC358" s="11"/>
      <c r="AD358" s="11"/>
      <c r="AE358" s="11"/>
      <c r="AF358" s="11"/>
      <c r="AG358" s="11"/>
      <c r="AH358" s="11"/>
      <c r="AI358" s="11"/>
      <c r="AJ358" s="11"/>
      <c r="AK358" s="11"/>
      <c r="AL358" s="57"/>
      <c r="AM358" s="80"/>
      <c r="AN358" s="80">
        <f t="shared" si="30"/>
        <v>9</v>
      </c>
      <c r="AO358" s="81">
        <f t="shared" si="29"/>
        <v>-10</v>
      </c>
      <c r="AP358" s="82">
        <f t="shared" si="31"/>
        <v>0</v>
      </c>
      <c r="AQ358" s="81">
        <f t="shared" si="32"/>
        <v>-10</v>
      </c>
      <c r="AR358" s="82">
        <f t="shared" si="33"/>
        <v>0.01</v>
      </c>
      <c r="AS358" s="15"/>
      <c r="AT358" s="15"/>
      <c r="AU358" s="16"/>
      <c r="AV358" s="17"/>
      <c r="AW358" s="16"/>
      <c r="AX358" s="15"/>
      <c r="AY358" s="19"/>
      <c r="AZ358" s="15"/>
      <c r="BA358" s="18"/>
      <c r="BB358" s="17"/>
      <c r="BC358" s="17"/>
      <c r="BD358" s="17"/>
      <c r="BE358" s="6"/>
    </row>
    <row r="359" spans="1:57" x14ac:dyDescent="0.25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00"/>
      <c r="AB359" s="100"/>
      <c r="AC359" s="11"/>
      <c r="AD359" s="11"/>
      <c r="AE359" s="11"/>
      <c r="AF359" s="11"/>
      <c r="AG359" s="11"/>
      <c r="AH359" s="11"/>
      <c r="AI359" s="11"/>
      <c r="AJ359" s="11"/>
      <c r="AK359" s="11"/>
      <c r="AL359" s="52"/>
      <c r="AM359" s="53"/>
      <c r="AN359" s="53">
        <f t="shared" si="30"/>
        <v>9</v>
      </c>
      <c r="AO359" s="77">
        <f t="shared" si="29"/>
        <v>-10</v>
      </c>
      <c r="AP359" s="54">
        <f t="shared" si="31"/>
        <v>0</v>
      </c>
      <c r="AQ359" s="77">
        <f t="shared" si="32"/>
        <v>-10</v>
      </c>
      <c r="AR359" s="54">
        <f t="shared" si="33"/>
        <v>0.01</v>
      </c>
      <c r="AS359" s="15"/>
      <c r="AT359" s="15"/>
      <c r="AU359" s="16"/>
      <c r="AV359" s="17"/>
      <c r="AW359" s="16"/>
      <c r="AX359" s="15"/>
      <c r="AY359" s="19"/>
      <c r="AZ359" s="15"/>
      <c r="BA359" s="18"/>
      <c r="BB359" s="17"/>
      <c r="BC359" s="17"/>
      <c r="BD359" s="17"/>
      <c r="BE359" s="6"/>
    </row>
    <row r="360" spans="1:57" x14ac:dyDescent="0.25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00"/>
      <c r="AB360" s="100"/>
      <c r="AC360" s="11"/>
      <c r="AD360" s="11"/>
      <c r="AE360" s="11"/>
      <c r="AF360" s="11"/>
      <c r="AG360" s="11"/>
      <c r="AH360" s="11"/>
      <c r="AI360" s="11"/>
      <c r="AJ360" s="11"/>
      <c r="AK360" s="11"/>
      <c r="AL360" s="57"/>
      <c r="AM360" s="80"/>
      <c r="AN360" s="80">
        <f t="shared" si="30"/>
        <v>9</v>
      </c>
      <c r="AO360" s="81">
        <f t="shared" si="29"/>
        <v>-10</v>
      </c>
      <c r="AP360" s="82">
        <f t="shared" si="31"/>
        <v>0</v>
      </c>
      <c r="AQ360" s="81">
        <f t="shared" si="32"/>
        <v>-10</v>
      </c>
      <c r="AR360" s="82">
        <f t="shared" si="33"/>
        <v>0.01</v>
      </c>
      <c r="AS360" s="15"/>
      <c r="AT360" s="15"/>
      <c r="AU360" s="16"/>
      <c r="AV360" s="17"/>
      <c r="AW360" s="16"/>
      <c r="AX360" s="15"/>
      <c r="AY360" s="19"/>
      <c r="AZ360" s="15"/>
      <c r="BA360" s="18"/>
      <c r="BB360" s="17"/>
      <c r="BC360" s="17"/>
      <c r="BD360" s="17"/>
      <c r="BE360" s="6"/>
    </row>
    <row r="361" spans="1:57" x14ac:dyDescent="0.25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00"/>
      <c r="AB361" s="100"/>
      <c r="AC361" s="11"/>
      <c r="AD361" s="11"/>
      <c r="AE361" s="11"/>
      <c r="AF361" s="11"/>
      <c r="AG361" s="11"/>
      <c r="AH361" s="11"/>
      <c r="AI361" s="11"/>
      <c r="AJ361" s="11"/>
      <c r="AK361" s="11"/>
      <c r="AL361" s="52"/>
      <c r="AM361" s="53"/>
      <c r="AN361" s="53">
        <f t="shared" si="30"/>
        <v>9</v>
      </c>
      <c r="AO361" s="77">
        <f t="shared" si="29"/>
        <v>-10</v>
      </c>
      <c r="AP361" s="54">
        <f t="shared" si="31"/>
        <v>0</v>
      </c>
      <c r="AQ361" s="77">
        <f t="shared" si="32"/>
        <v>-10</v>
      </c>
      <c r="AR361" s="54">
        <f t="shared" si="33"/>
        <v>0.01</v>
      </c>
      <c r="AS361" s="15"/>
      <c r="AT361" s="15"/>
      <c r="AU361" s="16"/>
      <c r="AV361" s="17"/>
      <c r="AW361" s="16"/>
      <c r="AX361" s="15"/>
      <c r="AY361" s="19"/>
      <c r="AZ361" s="15"/>
      <c r="BA361" s="18"/>
      <c r="BB361" s="17"/>
      <c r="BC361" s="17"/>
      <c r="BD361" s="17"/>
      <c r="BE361" s="6"/>
    </row>
    <row r="362" spans="1:57" x14ac:dyDescent="0.25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00"/>
      <c r="AB362" s="100"/>
      <c r="AC362" s="11"/>
      <c r="AD362" s="11"/>
      <c r="AE362" s="11"/>
      <c r="AF362" s="11"/>
      <c r="AG362" s="11"/>
      <c r="AH362" s="11"/>
      <c r="AI362" s="11"/>
      <c r="AJ362" s="11"/>
      <c r="AK362" s="11"/>
      <c r="AL362" s="57"/>
      <c r="AM362" s="80"/>
      <c r="AN362" s="80">
        <f t="shared" si="30"/>
        <v>9</v>
      </c>
      <c r="AO362" s="81">
        <f t="shared" si="29"/>
        <v>-10</v>
      </c>
      <c r="AP362" s="82">
        <f t="shared" si="31"/>
        <v>0</v>
      </c>
      <c r="AQ362" s="81">
        <f t="shared" si="32"/>
        <v>-10</v>
      </c>
      <c r="AR362" s="82">
        <f t="shared" si="33"/>
        <v>0.01</v>
      </c>
      <c r="AS362" s="15"/>
      <c r="AT362" s="15"/>
      <c r="AU362" s="16"/>
      <c r="AV362" s="17"/>
      <c r="AW362" s="16"/>
      <c r="AX362" s="15"/>
      <c r="AY362" s="19"/>
      <c r="AZ362" s="15"/>
      <c r="BA362" s="18"/>
      <c r="BB362" s="17"/>
      <c r="BC362" s="17"/>
      <c r="BD362" s="17"/>
      <c r="BE362" s="6"/>
    </row>
    <row r="363" spans="1:57" x14ac:dyDescent="0.25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00"/>
      <c r="AB363" s="100"/>
      <c r="AC363" s="11"/>
      <c r="AD363" s="11"/>
      <c r="AE363" s="11"/>
      <c r="AF363" s="11"/>
      <c r="AG363" s="11"/>
      <c r="AH363" s="11"/>
      <c r="AI363" s="11"/>
      <c r="AJ363" s="11"/>
      <c r="AK363" s="11"/>
      <c r="AL363" s="52"/>
      <c r="AM363" s="53"/>
      <c r="AN363" s="53">
        <f t="shared" si="30"/>
        <v>9</v>
      </c>
      <c r="AO363" s="77">
        <f t="shared" si="29"/>
        <v>-10</v>
      </c>
      <c r="AP363" s="54">
        <f t="shared" si="31"/>
        <v>0</v>
      </c>
      <c r="AQ363" s="77">
        <f t="shared" si="32"/>
        <v>-10</v>
      </c>
      <c r="AR363" s="54">
        <f t="shared" si="33"/>
        <v>0.01</v>
      </c>
      <c r="AS363" s="15"/>
      <c r="AT363" s="15"/>
      <c r="AU363" s="16"/>
      <c r="AV363" s="17"/>
      <c r="AW363" s="16"/>
      <c r="AX363" s="15"/>
      <c r="AY363" s="19"/>
      <c r="AZ363" s="15"/>
      <c r="BA363" s="18"/>
      <c r="BB363" s="17"/>
      <c r="BC363" s="17"/>
      <c r="BD363" s="17"/>
      <c r="BE363" s="6"/>
    </row>
    <row r="364" spans="1:57" x14ac:dyDescent="0.25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00"/>
      <c r="AB364" s="100"/>
      <c r="AC364" s="11"/>
      <c r="AD364" s="11"/>
      <c r="AE364" s="11"/>
      <c r="AF364" s="11"/>
      <c r="AG364" s="11"/>
      <c r="AH364" s="11"/>
      <c r="AI364" s="11"/>
      <c r="AJ364" s="11"/>
      <c r="AK364" s="11"/>
      <c r="AL364" s="57"/>
      <c r="AM364" s="80"/>
      <c r="AN364" s="80">
        <f t="shared" si="30"/>
        <v>9</v>
      </c>
      <c r="AO364" s="81">
        <f t="shared" si="29"/>
        <v>-10</v>
      </c>
      <c r="AP364" s="82">
        <f t="shared" si="31"/>
        <v>0</v>
      </c>
      <c r="AQ364" s="81">
        <f t="shared" si="32"/>
        <v>-10</v>
      </c>
      <c r="AR364" s="82">
        <f t="shared" si="33"/>
        <v>0.01</v>
      </c>
      <c r="AS364" s="15"/>
      <c r="AT364" s="15"/>
      <c r="AU364" s="16"/>
      <c r="AV364" s="17"/>
      <c r="AW364" s="16"/>
      <c r="AX364" s="15"/>
      <c r="AY364" s="19"/>
      <c r="AZ364" s="15"/>
      <c r="BA364" s="18"/>
      <c r="BB364" s="17"/>
      <c r="BC364" s="17"/>
      <c r="BD364" s="17"/>
      <c r="BE364" s="6"/>
    </row>
    <row r="365" spans="1:57" x14ac:dyDescent="0.25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00"/>
      <c r="AB365" s="100"/>
      <c r="AC365" s="11"/>
      <c r="AD365" s="11"/>
      <c r="AE365" s="11"/>
      <c r="AF365" s="11"/>
      <c r="AG365" s="11"/>
      <c r="AH365" s="11"/>
      <c r="AI365" s="11"/>
      <c r="AJ365" s="11"/>
      <c r="AK365" s="11"/>
      <c r="AL365" s="52"/>
      <c r="AM365" s="53"/>
      <c r="AN365" s="53">
        <f t="shared" si="30"/>
        <v>9</v>
      </c>
      <c r="AO365" s="77">
        <f t="shared" si="29"/>
        <v>-10</v>
      </c>
      <c r="AP365" s="54">
        <f t="shared" si="31"/>
        <v>0</v>
      </c>
      <c r="AQ365" s="77">
        <f t="shared" si="32"/>
        <v>-10</v>
      </c>
      <c r="AR365" s="54">
        <f t="shared" si="33"/>
        <v>0.01</v>
      </c>
      <c r="AS365" s="15"/>
      <c r="AT365" s="15"/>
      <c r="AU365" s="16"/>
      <c r="AV365" s="17"/>
      <c r="AW365" s="16"/>
      <c r="AX365" s="15"/>
      <c r="AY365" s="19"/>
      <c r="AZ365" s="15"/>
      <c r="BA365" s="18"/>
      <c r="BB365" s="17"/>
      <c r="BC365" s="17"/>
      <c r="BD365" s="17"/>
      <c r="BE365" s="6"/>
    </row>
    <row r="366" spans="1:57" x14ac:dyDescent="0.25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00"/>
      <c r="AB366" s="100"/>
      <c r="AC366" s="11"/>
      <c r="AD366" s="11"/>
      <c r="AE366" s="11"/>
      <c r="AF366" s="11"/>
      <c r="AG366" s="11"/>
      <c r="AH366" s="11"/>
      <c r="AI366" s="11"/>
      <c r="AJ366" s="11"/>
      <c r="AK366" s="11"/>
      <c r="AL366" s="57"/>
      <c r="AM366" s="80"/>
      <c r="AN366" s="80">
        <f t="shared" si="30"/>
        <v>9</v>
      </c>
      <c r="AO366" s="81">
        <f t="shared" si="29"/>
        <v>-10</v>
      </c>
      <c r="AP366" s="82">
        <f t="shared" si="31"/>
        <v>0</v>
      </c>
      <c r="AQ366" s="81">
        <f t="shared" si="32"/>
        <v>-10</v>
      </c>
      <c r="AR366" s="82">
        <f t="shared" si="33"/>
        <v>0.01</v>
      </c>
      <c r="AS366" s="15"/>
      <c r="AT366" s="15"/>
      <c r="AU366" s="16"/>
      <c r="AV366" s="17"/>
      <c r="AW366" s="16"/>
      <c r="AX366" s="15"/>
      <c r="AY366" s="19"/>
      <c r="AZ366" s="15"/>
      <c r="BA366" s="18"/>
      <c r="BB366" s="17"/>
      <c r="BC366" s="17"/>
      <c r="BD366" s="17"/>
      <c r="BE366" s="6"/>
    </row>
    <row r="367" spans="1:57" x14ac:dyDescent="0.25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00"/>
      <c r="AB367" s="100"/>
      <c r="AC367" s="11"/>
      <c r="AD367" s="11"/>
      <c r="AE367" s="11"/>
      <c r="AF367" s="11"/>
      <c r="AG367" s="11"/>
      <c r="AH367" s="11"/>
      <c r="AI367" s="11"/>
      <c r="AJ367" s="11"/>
      <c r="AK367" s="11"/>
      <c r="AL367" s="52"/>
      <c r="AM367" s="53"/>
      <c r="AN367" s="53">
        <f t="shared" si="30"/>
        <v>9</v>
      </c>
      <c r="AO367" s="77">
        <f t="shared" ref="AO367:AO430" si="34">IF(AO366+(AQ366/AN367)&lt;AQ366,AQ366,AO366+(AQ366/AN367))</f>
        <v>-10</v>
      </c>
      <c r="AP367" s="54">
        <f t="shared" si="31"/>
        <v>0</v>
      </c>
      <c r="AQ367" s="77">
        <f t="shared" si="32"/>
        <v>-10</v>
      </c>
      <c r="AR367" s="54">
        <f t="shared" si="33"/>
        <v>0.01</v>
      </c>
      <c r="AS367" s="15"/>
      <c r="AT367" s="15"/>
      <c r="AU367" s="16"/>
      <c r="AV367" s="17"/>
      <c r="AW367" s="16"/>
      <c r="AX367" s="15"/>
      <c r="AY367" s="19"/>
      <c r="AZ367" s="15"/>
      <c r="BA367" s="18"/>
      <c r="BB367" s="17"/>
      <c r="BC367" s="17"/>
      <c r="BD367" s="17"/>
      <c r="BE367" s="6"/>
    </row>
    <row r="368" spans="1:57" x14ac:dyDescent="0.25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00"/>
      <c r="AB368" s="100"/>
      <c r="AC368" s="11"/>
      <c r="AD368" s="11"/>
      <c r="AE368" s="11"/>
      <c r="AF368" s="11"/>
      <c r="AG368" s="11"/>
      <c r="AH368" s="11"/>
      <c r="AI368" s="11"/>
      <c r="AJ368" s="11"/>
      <c r="AK368" s="11"/>
      <c r="AL368" s="57"/>
      <c r="AM368" s="80"/>
      <c r="AN368" s="80">
        <f t="shared" si="30"/>
        <v>9</v>
      </c>
      <c r="AO368" s="81">
        <f t="shared" si="34"/>
        <v>-10</v>
      </c>
      <c r="AP368" s="82">
        <f t="shared" si="31"/>
        <v>0</v>
      </c>
      <c r="AQ368" s="81">
        <f t="shared" si="32"/>
        <v>-10</v>
      </c>
      <c r="AR368" s="82">
        <f t="shared" si="33"/>
        <v>0.01</v>
      </c>
      <c r="AS368" s="15"/>
      <c r="AT368" s="15"/>
      <c r="AU368" s="16"/>
      <c r="AV368" s="17"/>
      <c r="AW368" s="16"/>
      <c r="AX368" s="15"/>
      <c r="AY368" s="19"/>
      <c r="AZ368" s="15"/>
      <c r="BA368" s="18"/>
      <c r="BB368" s="17"/>
      <c r="BC368" s="17"/>
      <c r="BD368" s="17"/>
      <c r="BE368" s="6"/>
    </row>
    <row r="369" spans="1:57" x14ac:dyDescent="0.25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00"/>
      <c r="AB369" s="100"/>
      <c r="AC369" s="11"/>
      <c r="AD369" s="11"/>
      <c r="AE369" s="11"/>
      <c r="AF369" s="11"/>
      <c r="AG369" s="11"/>
      <c r="AH369" s="11"/>
      <c r="AI369" s="11"/>
      <c r="AJ369" s="11"/>
      <c r="AK369" s="11"/>
      <c r="AL369" s="52"/>
      <c r="AM369" s="53"/>
      <c r="AN369" s="53">
        <f t="shared" si="30"/>
        <v>9</v>
      </c>
      <c r="AO369" s="77">
        <f t="shared" si="34"/>
        <v>-10</v>
      </c>
      <c r="AP369" s="54">
        <f t="shared" si="31"/>
        <v>0</v>
      </c>
      <c r="AQ369" s="77">
        <f t="shared" si="32"/>
        <v>-10</v>
      </c>
      <c r="AR369" s="54">
        <f t="shared" si="33"/>
        <v>0.01</v>
      </c>
      <c r="AS369" s="15"/>
      <c r="AT369" s="15"/>
      <c r="AU369" s="16"/>
      <c r="AV369" s="17"/>
      <c r="AW369" s="16"/>
      <c r="AX369" s="15"/>
      <c r="AY369" s="19"/>
      <c r="AZ369" s="15"/>
      <c r="BA369" s="18"/>
      <c r="BB369" s="17"/>
      <c r="BC369" s="17"/>
      <c r="BD369" s="17"/>
      <c r="BE369" s="6"/>
    </row>
    <row r="370" spans="1:57" x14ac:dyDescent="0.25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00"/>
      <c r="AB370" s="100"/>
      <c r="AC370" s="11"/>
      <c r="AD370" s="11"/>
      <c r="AE370" s="11"/>
      <c r="AF370" s="11"/>
      <c r="AG370" s="11"/>
      <c r="AH370" s="11"/>
      <c r="AI370" s="11"/>
      <c r="AJ370" s="11"/>
      <c r="AK370" s="11"/>
      <c r="AL370" s="57"/>
      <c r="AM370" s="80"/>
      <c r="AN370" s="80">
        <f t="shared" si="30"/>
        <v>9</v>
      </c>
      <c r="AO370" s="81">
        <f t="shared" si="34"/>
        <v>-10</v>
      </c>
      <c r="AP370" s="82">
        <f t="shared" si="31"/>
        <v>0</v>
      </c>
      <c r="AQ370" s="81">
        <f t="shared" si="32"/>
        <v>-10</v>
      </c>
      <c r="AR370" s="82">
        <f t="shared" si="33"/>
        <v>0.01</v>
      </c>
      <c r="AS370" s="15"/>
      <c r="AT370" s="15"/>
      <c r="AU370" s="16"/>
      <c r="AV370" s="17"/>
      <c r="AW370" s="16"/>
      <c r="AX370" s="15"/>
      <c r="AY370" s="19"/>
      <c r="AZ370" s="15"/>
      <c r="BA370" s="18"/>
      <c r="BB370" s="17"/>
      <c r="BC370" s="17"/>
      <c r="BD370" s="17"/>
      <c r="BE370" s="6"/>
    </row>
    <row r="371" spans="1:57" x14ac:dyDescent="0.25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00"/>
      <c r="AB371" s="100"/>
      <c r="AC371" s="11"/>
      <c r="AD371" s="11"/>
      <c r="AE371" s="11"/>
      <c r="AF371" s="11"/>
      <c r="AG371" s="11"/>
      <c r="AH371" s="11"/>
      <c r="AI371" s="11"/>
      <c r="AJ371" s="11"/>
      <c r="AK371" s="11"/>
      <c r="AL371" s="52"/>
      <c r="AM371" s="53"/>
      <c r="AN371" s="53">
        <f t="shared" si="30"/>
        <v>9</v>
      </c>
      <c r="AO371" s="77">
        <f t="shared" si="34"/>
        <v>-10</v>
      </c>
      <c r="AP371" s="54">
        <f t="shared" si="31"/>
        <v>0</v>
      </c>
      <c r="AQ371" s="77">
        <f t="shared" si="32"/>
        <v>-10</v>
      </c>
      <c r="AR371" s="54">
        <f t="shared" si="33"/>
        <v>0.01</v>
      </c>
      <c r="AS371" s="15"/>
      <c r="AT371" s="15"/>
      <c r="AU371" s="16"/>
      <c r="AV371" s="17"/>
      <c r="AW371" s="16"/>
      <c r="AX371" s="15"/>
      <c r="AY371" s="19"/>
      <c r="AZ371" s="15"/>
      <c r="BA371" s="18"/>
      <c r="BB371" s="17"/>
      <c r="BC371" s="17"/>
      <c r="BD371" s="17"/>
      <c r="BE371" s="6"/>
    </row>
    <row r="372" spans="1:57" x14ac:dyDescent="0.25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00"/>
      <c r="AB372" s="100"/>
      <c r="AC372" s="11"/>
      <c r="AD372" s="11"/>
      <c r="AE372" s="11"/>
      <c r="AF372" s="11"/>
      <c r="AG372" s="11"/>
      <c r="AH372" s="11"/>
      <c r="AI372" s="11"/>
      <c r="AJ372" s="11"/>
      <c r="AK372" s="11"/>
      <c r="AL372" s="57"/>
      <c r="AM372" s="80"/>
      <c r="AN372" s="80">
        <f t="shared" si="30"/>
        <v>9</v>
      </c>
      <c r="AO372" s="81">
        <f t="shared" si="34"/>
        <v>-10</v>
      </c>
      <c r="AP372" s="82">
        <f t="shared" si="31"/>
        <v>0</v>
      </c>
      <c r="AQ372" s="81">
        <f t="shared" si="32"/>
        <v>-10</v>
      </c>
      <c r="AR372" s="82">
        <f t="shared" si="33"/>
        <v>0.01</v>
      </c>
      <c r="AS372" s="15"/>
      <c r="AT372" s="15"/>
      <c r="AU372" s="16"/>
      <c r="AV372" s="17"/>
      <c r="AW372" s="16"/>
      <c r="AX372" s="15"/>
      <c r="AY372" s="19"/>
      <c r="AZ372" s="15"/>
      <c r="BA372" s="18"/>
      <c r="BB372" s="17"/>
      <c r="BC372" s="17"/>
      <c r="BD372" s="17"/>
      <c r="BE372" s="6"/>
    </row>
    <row r="373" spans="1:57" x14ac:dyDescent="0.25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00"/>
      <c r="AB373" s="100"/>
      <c r="AC373" s="11"/>
      <c r="AD373" s="11"/>
      <c r="AE373" s="11"/>
      <c r="AF373" s="11"/>
      <c r="AG373" s="11"/>
      <c r="AH373" s="11"/>
      <c r="AI373" s="11"/>
      <c r="AJ373" s="11"/>
      <c r="AK373" s="11"/>
      <c r="AL373" s="52"/>
      <c r="AM373" s="53"/>
      <c r="AN373" s="53">
        <f t="shared" si="30"/>
        <v>9</v>
      </c>
      <c r="AO373" s="77">
        <f t="shared" si="34"/>
        <v>-10</v>
      </c>
      <c r="AP373" s="54">
        <f t="shared" si="31"/>
        <v>0</v>
      </c>
      <c r="AQ373" s="77">
        <f t="shared" si="32"/>
        <v>-10</v>
      </c>
      <c r="AR373" s="54">
        <f t="shared" si="33"/>
        <v>0.01</v>
      </c>
      <c r="AS373" s="15"/>
      <c r="AT373" s="15"/>
      <c r="AU373" s="16"/>
      <c r="AV373" s="17"/>
      <c r="AW373" s="16"/>
      <c r="AX373" s="15"/>
      <c r="AY373" s="19"/>
      <c r="AZ373" s="15"/>
      <c r="BA373" s="18"/>
      <c r="BB373" s="17"/>
      <c r="BC373" s="17"/>
      <c r="BD373" s="17"/>
      <c r="BE373" s="6"/>
    </row>
    <row r="374" spans="1:57" x14ac:dyDescent="0.25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00"/>
      <c r="AB374" s="100"/>
      <c r="AC374" s="11"/>
      <c r="AD374" s="11"/>
      <c r="AE374" s="11"/>
      <c r="AF374" s="11"/>
      <c r="AG374" s="11"/>
      <c r="AH374" s="11"/>
      <c r="AI374" s="11"/>
      <c r="AJ374" s="11"/>
      <c r="AK374" s="11"/>
      <c r="AL374" s="57"/>
      <c r="AM374" s="80"/>
      <c r="AN374" s="80">
        <f t="shared" si="30"/>
        <v>9</v>
      </c>
      <c r="AO374" s="81">
        <f t="shared" si="34"/>
        <v>-10</v>
      </c>
      <c r="AP374" s="82">
        <f t="shared" si="31"/>
        <v>0</v>
      </c>
      <c r="AQ374" s="81">
        <f t="shared" si="32"/>
        <v>-10</v>
      </c>
      <c r="AR374" s="82">
        <f t="shared" si="33"/>
        <v>0.01</v>
      </c>
      <c r="AS374" s="15"/>
      <c r="AT374" s="15"/>
      <c r="AU374" s="16"/>
      <c r="AV374" s="17"/>
      <c r="AW374" s="16"/>
      <c r="AX374" s="15"/>
      <c r="AY374" s="19"/>
      <c r="AZ374" s="15"/>
      <c r="BA374" s="18"/>
      <c r="BB374" s="17"/>
      <c r="BC374" s="17"/>
      <c r="BD374" s="17"/>
      <c r="BE374" s="6"/>
    </row>
    <row r="375" spans="1:57" x14ac:dyDescent="0.25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00"/>
      <c r="AB375" s="100"/>
      <c r="AC375" s="11"/>
      <c r="AD375" s="11"/>
      <c r="AE375" s="11"/>
      <c r="AF375" s="11"/>
      <c r="AG375" s="11"/>
      <c r="AH375" s="11"/>
      <c r="AI375" s="11"/>
      <c r="AJ375" s="11"/>
      <c r="AK375" s="11"/>
      <c r="AL375" s="52"/>
      <c r="AM375" s="53"/>
      <c r="AN375" s="53">
        <f t="shared" si="30"/>
        <v>9</v>
      </c>
      <c r="AO375" s="77">
        <f t="shared" si="34"/>
        <v>-10</v>
      </c>
      <c r="AP375" s="54">
        <f t="shared" si="31"/>
        <v>0</v>
      </c>
      <c r="AQ375" s="77">
        <f t="shared" si="32"/>
        <v>-10</v>
      </c>
      <c r="AR375" s="54">
        <f t="shared" si="33"/>
        <v>0.01</v>
      </c>
      <c r="AS375" s="15"/>
      <c r="AT375" s="15"/>
      <c r="AU375" s="16"/>
      <c r="AV375" s="17"/>
      <c r="AW375" s="16"/>
      <c r="AX375" s="15"/>
      <c r="AY375" s="19"/>
      <c r="AZ375" s="15"/>
      <c r="BA375" s="18"/>
      <c r="BB375" s="17"/>
      <c r="BC375" s="17"/>
      <c r="BD375" s="17"/>
      <c r="BE375" s="6"/>
    </row>
    <row r="376" spans="1:57" x14ac:dyDescent="0.25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00"/>
      <c r="AB376" s="100"/>
      <c r="AC376" s="11"/>
      <c r="AD376" s="11"/>
      <c r="AE376" s="11"/>
      <c r="AF376" s="11"/>
      <c r="AG376" s="11"/>
      <c r="AH376" s="11"/>
      <c r="AI376" s="11"/>
      <c r="AJ376" s="11"/>
      <c r="AK376" s="11"/>
      <c r="AL376" s="57"/>
      <c r="AM376" s="80"/>
      <c r="AN376" s="80">
        <f t="shared" si="30"/>
        <v>9</v>
      </c>
      <c r="AO376" s="81">
        <f t="shared" si="34"/>
        <v>-10</v>
      </c>
      <c r="AP376" s="82">
        <f t="shared" si="31"/>
        <v>0</v>
      </c>
      <c r="AQ376" s="81">
        <f t="shared" si="32"/>
        <v>-10</v>
      </c>
      <c r="AR376" s="82">
        <f t="shared" si="33"/>
        <v>0.01</v>
      </c>
      <c r="AS376" s="15"/>
      <c r="AT376" s="15"/>
      <c r="AU376" s="16"/>
      <c r="AV376" s="17"/>
      <c r="AW376" s="16"/>
      <c r="AX376" s="15"/>
      <c r="AY376" s="19"/>
      <c r="AZ376" s="15"/>
      <c r="BA376" s="18"/>
      <c r="BB376" s="17"/>
      <c r="BC376" s="17"/>
      <c r="BD376" s="17"/>
      <c r="BE376" s="6"/>
    </row>
    <row r="377" spans="1:57" x14ac:dyDescent="0.25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00"/>
      <c r="AB377" s="100"/>
      <c r="AC377" s="11"/>
      <c r="AD377" s="11"/>
      <c r="AE377" s="11"/>
      <c r="AF377" s="11"/>
      <c r="AG377" s="11"/>
      <c r="AH377" s="11"/>
      <c r="AI377" s="11"/>
      <c r="AJ377" s="11"/>
      <c r="AK377" s="11"/>
      <c r="AL377" s="52"/>
      <c r="AM377" s="53"/>
      <c r="AN377" s="53">
        <f t="shared" si="30"/>
        <v>9</v>
      </c>
      <c r="AO377" s="77">
        <f t="shared" si="34"/>
        <v>-10</v>
      </c>
      <c r="AP377" s="54">
        <f t="shared" si="31"/>
        <v>0</v>
      </c>
      <c r="AQ377" s="77">
        <f t="shared" si="32"/>
        <v>-10</v>
      </c>
      <c r="AR377" s="54">
        <f t="shared" si="33"/>
        <v>0.01</v>
      </c>
      <c r="AS377" s="15"/>
      <c r="AT377" s="15"/>
      <c r="AU377" s="16"/>
      <c r="AV377" s="17"/>
      <c r="AW377" s="16"/>
      <c r="AX377" s="15"/>
      <c r="AY377" s="19"/>
      <c r="AZ377" s="15"/>
      <c r="BA377" s="18"/>
      <c r="BB377" s="17"/>
      <c r="BC377" s="17"/>
      <c r="BD377" s="17"/>
      <c r="BE377" s="6"/>
    </row>
    <row r="378" spans="1:57" x14ac:dyDescent="0.25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00"/>
      <c r="AB378" s="100"/>
      <c r="AC378" s="11"/>
      <c r="AD378" s="11"/>
      <c r="AE378" s="11"/>
      <c r="AF378" s="11"/>
      <c r="AG378" s="11"/>
      <c r="AH378" s="11"/>
      <c r="AI378" s="11"/>
      <c r="AJ378" s="11"/>
      <c r="AK378" s="11"/>
      <c r="AL378" s="57"/>
      <c r="AM378" s="80"/>
      <c r="AN378" s="80">
        <f t="shared" si="30"/>
        <v>9</v>
      </c>
      <c r="AO378" s="81">
        <f t="shared" si="34"/>
        <v>-10</v>
      </c>
      <c r="AP378" s="82">
        <f t="shared" si="31"/>
        <v>0</v>
      </c>
      <c r="AQ378" s="81">
        <f t="shared" si="32"/>
        <v>-10</v>
      </c>
      <c r="AR378" s="82">
        <f t="shared" si="33"/>
        <v>0.01</v>
      </c>
      <c r="AS378" s="15"/>
      <c r="AT378" s="15"/>
      <c r="AU378" s="16"/>
      <c r="AV378" s="17"/>
      <c r="AW378" s="16"/>
      <c r="AX378" s="15"/>
      <c r="AY378" s="19"/>
      <c r="AZ378" s="15"/>
      <c r="BA378" s="18"/>
      <c r="BB378" s="17"/>
      <c r="BC378" s="17"/>
      <c r="BD378" s="17"/>
      <c r="BE378" s="6"/>
    </row>
    <row r="379" spans="1:57" x14ac:dyDescent="0.25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00"/>
      <c r="AB379" s="100"/>
      <c r="AC379" s="11"/>
      <c r="AD379" s="11"/>
      <c r="AE379" s="11"/>
      <c r="AF379" s="11"/>
      <c r="AG379" s="11"/>
      <c r="AH379" s="11"/>
      <c r="AI379" s="11"/>
      <c r="AJ379" s="11"/>
      <c r="AK379" s="11"/>
      <c r="AL379" s="52"/>
      <c r="AM379" s="53"/>
      <c r="AN379" s="53">
        <f t="shared" si="30"/>
        <v>9</v>
      </c>
      <c r="AO379" s="77">
        <f t="shared" si="34"/>
        <v>-10</v>
      </c>
      <c r="AP379" s="54">
        <f t="shared" si="31"/>
        <v>0</v>
      </c>
      <c r="AQ379" s="77">
        <f t="shared" si="32"/>
        <v>-10</v>
      </c>
      <c r="AR379" s="54">
        <f t="shared" si="33"/>
        <v>0.01</v>
      </c>
      <c r="AS379" s="15"/>
      <c r="AT379" s="15"/>
      <c r="AU379" s="16"/>
      <c r="AV379" s="17"/>
      <c r="AW379" s="16"/>
      <c r="AX379" s="15"/>
      <c r="AY379" s="19"/>
      <c r="AZ379" s="15"/>
      <c r="BA379" s="18"/>
      <c r="BB379" s="17"/>
      <c r="BC379" s="17"/>
      <c r="BD379" s="17"/>
      <c r="BE379" s="6"/>
    </row>
    <row r="380" spans="1:57" x14ac:dyDescent="0.25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00"/>
      <c r="AB380" s="100"/>
      <c r="AC380" s="11"/>
      <c r="AD380" s="11"/>
      <c r="AE380" s="11"/>
      <c r="AF380" s="11"/>
      <c r="AG380" s="11"/>
      <c r="AH380" s="11"/>
      <c r="AI380" s="11"/>
      <c r="AJ380" s="11"/>
      <c r="AK380" s="11"/>
      <c r="AL380" s="57"/>
      <c r="AM380" s="80"/>
      <c r="AN380" s="80">
        <f t="shared" si="30"/>
        <v>9</v>
      </c>
      <c r="AO380" s="81">
        <f t="shared" si="34"/>
        <v>-10</v>
      </c>
      <c r="AP380" s="82">
        <f t="shared" si="31"/>
        <v>0</v>
      </c>
      <c r="AQ380" s="81">
        <f t="shared" si="32"/>
        <v>-10</v>
      </c>
      <c r="AR380" s="82">
        <f t="shared" si="33"/>
        <v>0.01</v>
      </c>
      <c r="AS380" s="15"/>
      <c r="AT380" s="15"/>
      <c r="AU380" s="16"/>
      <c r="AV380" s="17"/>
      <c r="AW380" s="16"/>
      <c r="AX380" s="15"/>
      <c r="AY380" s="19"/>
      <c r="AZ380" s="15"/>
      <c r="BA380" s="18"/>
      <c r="BB380" s="17"/>
      <c r="BC380" s="17"/>
      <c r="BD380" s="17"/>
      <c r="BE380" s="6"/>
    </row>
    <row r="381" spans="1:57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00"/>
      <c r="AB381" s="100"/>
      <c r="AC381" s="11"/>
      <c r="AD381" s="11"/>
      <c r="AE381" s="11"/>
      <c r="AF381" s="11"/>
      <c r="AG381" s="11"/>
      <c r="AH381" s="11"/>
      <c r="AI381" s="11"/>
      <c r="AJ381" s="11"/>
      <c r="AK381" s="11"/>
      <c r="AL381" s="52"/>
      <c r="AM381" s="53"/>
      <c r="AN381" s="53">
        <f t="shared" si="30"/>
        <v>9</v>
      </c>
      <c r="AO381" s="77">
        <f t="shared" si="34"/>
        <v>-10</v>
      </c>
      <c r="AP381" s="54">
        <f t="shared" si="31"/>
        <v>0</v>
      </c>
      <c r="AQ381" s="77">
        <f t="shared" si="32"/>
        <v>-10</v>
      </c>
      <c r="AR381" s="54">
        <f t="shared" si="33"/>
        <v>0.01</v>
      </c>
      <c r="AS381" s="15"/>
      <c r="AT381" s="15"/>
      <c r="AU381" s="16"/>
      <c r="AV381" s="17"/>
      <c r="AW381" s="16"/>
      <c r="AX381" s="15"/>
      <c r="AY381" s="19"/>
      <c r="AZ381" s="15"/>
      <c r="BA381" s="18"/>
      <c r="BB381" s="17"/>
      <c r="BC381" s="17"/>
      <c r="BD381" s="17"/>
      <c r="BE381" s="6"/>
    </row>
    <row r="382" spans="1:57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00"/>
      <c r="AB382" s="100"/>
      <c r="AC382" s="11"/>
      <c r="AD382" s="11"/>
      <c r="AE382" s="11"/>
      <c r="AF382" s="11"/>
      <c r="AG382" s="11"/>
      <c r="AH382" s="11"/>
      <c r="AI382" s="11"/>
      <c r="AJ382" s="11"/>
      <c r="AK382" s="11"/>
      <c r="AL382" s="57"/>
      <c r="AM382" s="80"/>
      <c r="AN382" s="80">
        <f t="shared" si="30"/>
        <v>9</v>
      </c>
      <c r="AO382" s="81">
        <f t="shared" si="34"/>
        <v>-10</v>
      </c>
      <c r="AP382" s="82">
        <f t="shared" si="31"/>
        <v>0</v>
      </c>
      <c r="AQ382" s="81">
        <f t="shared" si="32"/>
        <v>-10</v>
      </c>
      <c r="AR382" s="82">
        <f t="shared" si="33"/>
        <v>0.01</v>
      </c>
      <c r="AS382" s="15"/>
      <c r="AT382" s="15"/>
      <c r="AU382" s="16"/>
      <c r="AV382" s="17"/>
      <c r="AW382" s="16"/>
      <c r="AX382" s="15"/>
      <c r="AY382" s="19"/>
      <c r="AZ382" s="15"/>
      <c r="BA382" s="18"/>
      <c r="BB382" s="17"/>
      <c r="BC382" s="17"/>
      <c r="BD382" s="17"/>
      <c r="BE382" s="6"/>
    </row>
    <row r="383" spans="1:57" x14ac:dyDescent="0.25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00"/>
      <c r="AB383" s="100"/>
      <c r="AC383" s="11"/>
      <c r="AD383" s="11"/>
      <c r="AE383" s="11"/>
      <c r="AF383" s="11"/>
      <c r="AG383" s="11"/>
      <c r="AH383" s="11"/>
      <c r="AI383" s="11"/>
      <c r="AJ383" s="11"/>
      <c r="AK383" s="11"/>
      <c r="AL383" s="52"/>
      <c r="AM383" s="53"/>
      <c r="AN383" s="53">
        <f t="shared" si="30"/>
        <v>9</v>
      </c>
      <c r="AO383" s="77">
        <f t="shared" si="34"/>
        <v>-10</v>
      </c>
      <c r="AP383" s="54">
        <f t="shared" si="31"/>
        <v>0</v>
      </c>
      <c r="AQ383" s="77">
        <f t="shared" si="32"/>
        <v>-10</v>
      </c>
      <c r="AR383" s="54">
        <f t="shared" si="33"/>
        <v>0.01</v>
      </c>
      <c r="AS383" s="15"/>
      <c r="AT383" s="15"/>
      <c r="AU383" s="16"/>
      <c r="AV383" s="17"/>
      <c r="AW383" s="16"/>
      <c r="AX383" s="15"/>
      <c r="AY383" s="19"/>
      <c r="AZ383" s="15"/>
      <c r="BA383" s="18"/>
      <c r="BB383" s="17"/>
      <c r="BC383" s="17"/>
      <c r="BD383" s="17"/>
      <c r="BE383" s="6"/>
    </row>
    <row r="384" spans="1:57" x14ac:dyDescent="0.25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00"/>
      <c r="AB384" s="100"/>
      <c r="AC384" s="11"/>
      <c r="AD384" s="11"/>
      <c r="AE384" s="11"/>
      <c r="AF384" s="11"/>
      <c r="AG384" s="11"/>
      <c r="AH384" s="11"/>
      <c r="AI384" s="11"/>
      <c r="AJ384" s="11"/>
      <c r="AK384" s="11"/>
      <c r="AL384" s="57"/>
      <c r="AM384" s="80"/>
      <c r="AN384" s="80">
        <f t="shared" si="30"/>
        <v>9</v>
      </c>
      <c r="AO384" s="81">
        <f t="shared" si="34"/>
        <v>-10</v>
      </c>
      <c r="AP384" s="82">
        <f t="shared" si="31"/>
        <v>0</v>
      </c>
      <c r="AQ384" s="81">
        <f t="shared" si="32"/>
        <v>-10</v>
      </c>
      <c r="AR384" s="82">
        <f t="shared" si="33"/>
        <v>0.01</v>
      </c>
      <c r="AS384" s="15"/>
      <c r="AT384" s="15"/>
      <c r="AU384" s="16"/>
      <c r="AV384" s="17"/>
      <c r="AW384" s="16"/>
      <c r="AX384" s="15"/>
      <c r="AY384" s="19"/>
      <c r="AZ384" s="15"/>
      <c r="BA384" s="18"/>
      <c r="BB384" s="17"/>
      <c r="BC384" s="17"/>
      <c r="BD384" s="17"/>
      <c r="BE384" s="6"/>
    </row>
    <row r="385" spans="1:57" x14ac:dyDescent="0.25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00"/>
      <c r="AB385" s="100"/>
      <c r="AC385" s="11"/>
      <c r="AD385" s="11"/>
      <c r="AE385" s="11"/>
      <c r="AF385" s="11"/>
      <c r="AG385" s="11"/>
      <c r="AH385" s="11"/>
      <c r="AI385" s="11"/>
      <c r="AJ385" s="11"/>
      <c r="AK385" s="11"/>
      <c r="AL385" s="52"/>
      <c r="AM385" s="53"/>
      <c r="AN385" s="53">
        <f t="shared" si="30"/>
        <v>9</v>
      </c>
      <c r="AO385" s="77">
        <f t="shared" si="34"/>
        <v>-10</v>
      </c>
      <c r="AP385" s="54">
        <f t="shared" si="31"/>
        <v>0</v>
      </c>
      <c r="AQ385" s="77">
        <f t="shared" si="32"/>
        <v>-10</v>
      </c>
      <c r="AR385" s="54">
        <f t="shared" si="33"/>
        <v>0.01</v>
      </c>
      <c r="AS385" s="15"/>
      <c r="AT385" s="15"/>
      <c r="AU385" s="16"/>
      <c r="AV385" s="17"/>
      <c r="AW385" s="16"/>
      <c r="AX385" s="15"/>
      <c r="AY385" s="19"/>
      <c r="AZ385" s="15"/>
      <c r="BA385" s="18"/>
      <c r="BB385" s="17"/>
      <c r="BC385" s="17"/>
      <c r="BD385" s="17"/>
      <c r="BE385" s="6"/>
    </row>
    <row r="386" spans="1:57" x14ac:dyDescent="0.25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00"/>
      <c r="AB386" s="100"/>
      <c r="AC386" s="11"/>
      <c r="AD386" s="11"/>
      <c r="AE386" s="11"/>
      <c r="AF386" s="11"/>
      <c r="AG386" s="11"/>
      <c r="AH386" s="11"/>
      <c r="AI386" s="11"/>
      <c r="AJ386" s="11"/>
      <c r="AK386" s="11"/>
      <c r="AL386" s="57"/>
      <c r="AM386" s="80"/>
      <c r="AN386" s="80">
        <f t="shared" si="30"/>
        <v>9</v>
      </c>
      <c r="AO386" s="81">
        <f t="shared" si="34"/>
        <v>-10</v>
      </c>
      <c r="AP386" s="82">
        <f t="shared" si="31"/>
        <v>0</v>
      </c>
      <c r="AQ386" s="81">
        <f t="shared" si="32"/>
        <v>-10</v>
      </c>
      <c r="AR386" s="82">
        <f t="shared" si="33"/>
        <v>0.01</v>
      </c>
      <c r="AS386" s="15"/>
      <c r="AT386" s="15"/>
      <c r="AU386" s="16"/>
      <c r="AV386" s="17"/>
      <c r="AW386" s="16"/>
      <c r="AX386" s="15"/>
      <c r="AY386" s="19"/>
      <c r="AZ386" s="15"/>
      <c r="BA386" s="18"/>
      <c r="BB386" s="17"/>
      <c r="BC386" s="17"/>
      <c r="BD386" s="17"/>
      <c r="BE386" s="6"/>
    </row>
    <row r="387" spans="1:57" x14ac:dyDescent="0.25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00"/>
      <c r="AB387" s="100"/>
      <c r="AC387" s="11"/>
      <c r="AD387" s="11"/>
      <c r="AE387" s="11"/>
      <c r="AF387" s="11"/>
      <c r="AG387" s="11"/>
      <c r="AH387" s="11"/>
      <c r="AI387" s="11"/>
      <c r="AJ387" s="11"/>
      <c r="AK387" s="11"/>
      <c r="AL387" s="52"/>
      <c r="AM387" s="53"/>
      <c r="AN387" s="53">
        <f t="shared" ref="AN387:AN450" si="35">AN386</f>
        <v>9</v>
      </c>
      <c r="AO387" s="77">
        <f t="shared" si="34"/>
        <v>-10</v>
      </c>
      <c r="AP387" s="54">
        <f t="shared" si="31"/>
        <v>0</v>
      </c>
      <c r="AQ387" s="77">
        <f t="shared" si="32"/>
        <v>-10</v>
      </c>
      <c r="AR387" s="54">
        <f t="shared" si="33"/>
        <v>0.01</v>
      </c>
      <c r="AS387" s="15"/>
      <c r="AT387" s="15"/>
      <c r="AU387" s="16"/>
      <c r="AV387" s="17"/>
      <c r="AW387" s="16"/>
      <c r="AX387" s="15"/>
      <c r="AY387" s="19"/>
      <c r="AZ387" s="15"/>
      <c r="BA387" s="18"/>
      <c r="BB387" s="17"/>
      <c r="BC387" s="17"/>
      <c r="BD387" s="17"/>
      <c r="BE387" s="6"/>
    </row>
    <row r="388" spans="1:57" x14ac:dyDescent="0.25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00"/>
      <c r="AB388" s="100"/>
      <c r="AC388" s="11"/>
      <c r="AD388" s="11"/>
      <c r="AE388" s="11"/>
      <c r="AF388" s="11"/>
      <c r="AG388" s="11"/>
      <c r="AH388" s="11"/>
      <c r="AI388" s="11"/>
      <c r="AJ388" s="11"/>
      <c r="AK388" s="11"/>
      <c r="AL388" s="57"/>
      <c r="AM388" s="80"/>
      <c r="AN388" s="80">
        <f t="shared" si="35"/>
        <v>9</v>
      </c>
      <c r="AO388" s="81">
        <f t="shared" si="34"/>
        <v>-10</v>
      </c>
      <c r="AP388" s="82">
        <f t="shared" si="31"/>
        <v>0</v>
      </c>
      <c r="AQ388" s="81">
        <f t="shared" si="32"/>
        <v>-10</v>
      </c>
      <c r="AR388" s="82">
        <f t="shared" si="33"/>
        <v>0.01</v>
      </c>
      <c r="AS388" s="15"/>
      <c r="AT388" s="15"/>
      <c r="AU388" s="16"/>
      <c r="AV388" s="17"/>
      <c r="AW388" s="16"/>
      <c r="AX388" s="15"/>
      <c r="AY388" s="19"/>
      <c r="AZ388" s="15"/>
      <c r="BA388" s="18"/>
      <c r="BB388" s="17"/>
      <c r="BC388" s="17"/>
      <c r="BD388" s="17"/>
      <c r="BE388" s="6"/>
    </row>
    <row r="389" spans="1:57" x14ac:dyDescent="0.25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00"/>
      <c r="AB389" s="100"/>
      <c r="AC389" s="11"/>
      <c r="AD389" s="11"/>
      <c r="AE389" s="11"/>
      <c r="AF389" s="11"/>
      <c r="AG389" s="11"/>
      <c r="AH389" s="11"/>
      <c r="AI389" s="11"/>
      <c r="AJ389" s="11"/>
      <c r="AK389" s="11"/>
      <c r="AL389" s="52"/>
      <c r="AM389" s="53"/>
      <c r="AN389" s="53">
        <f t="shared" si="35"/>
        <v>9</v>
      </c>
      <c r="AO389" s="77">
        <f t="shared" si="34"/>
        <v>-10</v>
      </c>
      <c r="AP389" s="54">
        <f t="shared" si="31"/>
        <v>0</v>
      </c>
      <c r="AQ389" s="77">
        <f t="shared" si="32"/>
        <v>-10</v>
      </c>
      <c r="AR389" s="54">
        <f t="shared" si="33"/>
        <v>0.01</v>
      </c>
      <c r="AS389" s="15"/>
      <c r="AT389" s="15"/>
      <c r="AU389" s="16"/>
      <c r="AV389" s="17"/>
      <c r="AW389" s="16"/>
      <c r="AX389" s="15"/>
      <c r="AY389" s="19"/>
      <c r="AZ389" s="15"/>
      <c r="BA389" s="18"/>
      <c r="BB389" s="17"/>
      <c r="BC389" s="17"/>
      <c r="BD389" s="17"/>
      <c r="BE389" s="6"/>
    </row>
    <row r="390" spans="1:57" x14ac:dyDescent="0.25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00"/>
      <c r="AB390" s="100"/>
      <c r="AC390" s="11"/>
      <c r="AD390" s="11"/>
      <c r="AE390" s="11"/>
      <c r="AF390" s="11"/>
      <c r="AG390" s="11"/>
      <c r="AH390" s="11"/>
      <c r="AI390" s="11"/>
      <c r="AJ390" s="11"/>
      <c r="AK390" s="11"/>
      <c r="AL390" s="57"/>
      <c r="AM390" s="80"/>
      <c r="AN390" s="80">
        <f t="shared" si="35"/>
        <v>9</v>
      </c>
      <c r="AO390" s="81">
        <f t="shared" si="34"/>
        <v>-10</v>
      </c>
      <c r="AP390" s="82">
        <f t="shared" si="31"/>
        <v>0</v>
      </c>
      <c r="AQ390" s="81">
        <f t="shared" si="32"/>
        <v>-10</v>
      </c>
      <c r="AR390" s="82">
        <f t="shared" si="33"/>
        <v>0.01</v>
      </c>
      <c r="AS390" s="15"/>
      <c r="AT390" s="15"/>
      <c r="AU390" s="16"/>
      <c r="AV390" s="17"/>
      <c r="AW390" s="16"/>
      <c r="AX390" s="15"/>
      <c r="AY390" s="19"/>
      <c r="AZ390" s="15"/>
      <c r="BA390" s="18"/>
      <c r="BB390" s="17"/>
      <c r="BC390" s="17"/>
      <c r="BD390" s="17"/>
      <c r="BE390" s="6"/>
    </row>
    <row r="391" spans="1:57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00"/>
      <c r="AB391" s="100"/>
      <c r="AC391" s="11"/>
      <c r="AD391" s="11"/>
      <c r="AE391" s="11"/>
      <c r="AF391" s="11"/>
      <c r="AG391" s="11"/>
      <c r="AH391" s="11"/>
      <c r="AI391" s="11"/>
      <c r="AJ391" s="11"/>
      <c r="AK391" s="11"/>
      <c r="AL391" s="52"/>
      <c r="AM391" s="53"/>
      <c r="AN391" s="53">
        <f t="shared" si="35"/>
        <v>9</v>
      </c>
      <c r="AO391" s="77">
        <f t="shared" si="34"/>
        <v>-10</v>
      </c>
      <c r="AP391" s="54">
        <f t="shared" si="31"/>
        <v>0</v>
      </c>
      <c r="AQ391" s="77">
        <f t="shared" si="32"/>
        <v>-10</v>
      </c>
      <c r="AR391" s="54">
        <f t="shared" si="33"/>
        <v>0.01</v>
      </c>
      <c r="AS391" s="15"/>
      <c r="AT391" s="15"/>
      <c r="AU391" s="16"/>
      <c r="AV391" s="17"/>
      <c r="AW391" s="16"/>
      <c r="AX391" s="15"/>
      <c r="AY391" s="19"/>
      <c r="AZ391" s="15"/>
      <c r="BA391" s="18"/>
      <c r="BB391" s="17"/>
      <c r="BC391" s="17"/>
      <c r="BD391" s="17"/>
      <c r="BE391" s="6"/>
    </row>
    <row r="392" spans="1:57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00"/>
      <c r="AB392" s="100"/>
      <c r="AC392" s="11"/>
      <c r="AD392" s="11"/>
      <c r="AE392" s="11"/>
      <c r="AF392" s="11"/>
      <c r="AG392" s="11"/>
      <c r="AH392" s="11"/>
      <c r="AI392" s="11"/>
      <c r="AJ392" s="11"/>
      <c r="AK392" s="11"/>
      <c r="AL392" s="57"/>
      <c r="AM392" s="80"/>
      <c r="AN392" s="80">
        <f t="shared" si="35"/>
        <v>9</v>
      </c>
      <c r="AO392" s="81">
        <f t="shared" si="34"/>
        <v>-10</v>
      </c>
      <c r="AP392" s="82">
        <f t="shared" si="31"/>
        <v>0</v>
      </c>
      <c r="AQ392" s="81">
        <f t="shared" si="32"/>
        <v>-10</v>
      </c>
      <c r="AR392" s="82">
        <f t="shared" si="33"/>
        <v>0.01</v>
      </c>
      <c r="AS392" s="15"/>
      <c r="AT392" s="15"/>
      <c r="AU392" s="16"/>
      <c r="AV392" s="17"/>
      <c r="AW392" s="16"/>
      <c r="AX392" s="15"/>
      <c r="AY392" s="19"/>
      <c r="AZ392" s="15"/>
      <c r="BA392" s="18"/>
      <c r="BB392" s="17"/>
      <c r="BC392" s="17"/>
      <c r="BD392" s="17"/>
      <c r="BE392" s="6"/>
    </row>
    <row r="393" spans="1:57" x14ac:dyDescent="0.25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00"/>
      <c r="AB393" s="100"/>
      <c r="AC393" s="11"/>
      <c r="AD393" s="11"/>
      <c r="AE393" s="11"/>
      <c r="AF393" s="11"/>
      <c r="AG393" s="11"/>
      <c r="AH393" s="11"/>
      <c r="AI393" s="11"/>
      <c r="AJ393" s="11"/>
      <c r="AK393" s="11"/>
      <c r="AL393" s="52"/>
      <c r="AM393" s="53"/>
      <c r="AN393" s="53">
        <f t="shared" si="35"/>
        <v>9</v>
      </c>
      <c r="AO393" s="77">
        <f t="shared" si="34"/>
        <v>-10</v>
      </c>
      <c r="AP393" s="54">
        <f t="shared" si="31"/>
        <v>0</v>
      </c>
      <c r="AQ393" s="77">
        <f t="shared" si="32"/>
        <v>-10</v>
      </c>
      <c r="AR393" s="54">
        <f t="shared" si="33"/>
        <v>0.01</v>
      </c>
      <c r="AS393" s="15"/>
      <c r="AT393" s="15"/>
      <c r="AU393" s="16"/>
      <c r="AV393" s="17"/>
      <c r="AW393" s="16"/>
      <c r="AX393" s="15"/>
      <c r="AY393" s="19"/>
      <c r="AZ393" s="15"/>
      <c r="BA393" s="18"/>
      <c r="BB393" s="17"/>
      <c r="BC393" s="17"/>
      <c r="BD393" s="17"/>
      <c r="BE393" s="6"/>
    </row>
    <row r="394" spans="1:57" x14ac:dyDescent="0.25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00"/>
      <c r="AB394" s="100"/>
      <c r="AC394" s="11"/>
      <c r="AD394" s="11"/>
      <c r="AE394" s="11"/>
      <c r="AF394" s="11"/>
      <c r="AG394" s="11"/>
      <c r="AH394" s="11"/>
      <c r="AI394" s="11"/>
      <c r="AJ394" s="11"/>
      <c r="AK394" s="11"/>
      <c r="AL394" s="57"/>
      <c r="AM394" s="80"/>
      <c r="AN394" s="80">
        <f t="shared" si="35"/>
        <v>9</v>
      </c>
      <c r="AO394" s="81">
        <f t="shared" si="34"/>
        <v>-10</v>
      </c>
      <c r="AP394" s="82">
        <f t="shared" ref="AP394:AP457" si="36">AR394*(1-(AO394/AQ394))^2</f>
        <v>0</v>
      </c>
      <c r="AQ394" s="81">
        <f t="shared" ref="AQ394:AQ457" si="37">AQ393</f>
        <v>-10</v>
      </c>
      <c r="AR394" s="82">
        <f t="shared" ref="AR394:AR457" si="38">AR393</f>
        <v>0.01</v>
      </c>
      <c r="AS394" s="15"/>
      <c r="AT394" s="15"/>
      <c r="AU394" s="16"/>
      <c r="AV394" s="17"/>
      <c r="AW394" s="16"/>
      <c r="AX394" s="15"/>
      <c r="AY394" s="19"/>
      <c r="AZ394" s="15"/>
      <c r="BA394" s="18"/>
      <c r="BB394" s="17"/>
      <c r="BC394" s="17"/>
      <c r="BD394" s="17"/>
      <c r="BE394" s="6"/>
    </row>
    <row r="395" spans="1:57" x14ac:dyDescent="0.25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00"/>
      <c r="AB395" s="100"/>
      <c r="AC395" s="11"/>
      <c r="AD395" s="11"/>
      <c r="AE395" s="11"/>
      <c r="AF395" s="11"/>
      <c r="AG395" s="11"/>
      <c r="AH395" s="11"/>
      <c r="AI395" s="11"/>
      <c r="AJ395" s="11"/>
      <c r="AK395" s="11"/>
      <c r="AL395" s="52"/>
      <c r="AM395" s="53"/>
      <c r="AN395" s="53">
        <f t="shared" si="35"/>
        <v>9</v>
      </c>
      <c r="AO395" s="77">
        <f t="shared" si="34"/>
        <v>-10</v>
      </c>
      <c r="AP395" s="54">
        <f t="shared" si="36"/>
        <v>0</v>
      </c>
      <c r="AQ395" s="77">
        <f t="shared" si="37"/>
        <v>-10</v>
      </c>
      <c r="AR395" s="54">
        <f t="shared" si="38"/>
        <v>0.01</v>
      </c>
      <c r="AS395" s="15"/>
      <c r="AT395" s="15"/>
      <c r="AU395" s="16"/>
      <c r="AV395" s="17"/>
      <c r="AW395" s="16"/>
      <c r="AX395" s="15"/>
      <c r="AY395" s="19"/>
      <c r="AZ395" s="15"/>
      <c r="BA395" s="18"/>
      <c r="BB395" s="17"/>
      <c r="BC395" s="17"/>
      <c r="BD395" s="17"/>
      <c r="BE395" s="6"/>
    </row>
    <row r="396" spans="1:57" x14ac:dyDescent="0.25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00"/>
      <c r="AB396" s="100"/>
      <c r="AC396" s="11"/>
      <c r="AD396" s="11"/>
      <c r="AE396" s="11"/>
      <c r="AF396" s="11"/>
      <c r="AG396" s="11"/>
      <c r="AH396" s="11"/>
      <c r="AI396" s="11"/>
      <c r="AJ396" s="11"/>
      <c r="AK396" s="11"/>
      <c r="AL396" s="57"/>
      <c r="AM396" s="80"/>
      <c r="AN396" s="80">
        <f t="shared" si="35"/>
        <v>9</v>
      </c>
      <c r="AO396" s="81">
        <f t="shared" si="34"/>
        <v>-10</v>
      </c>
      <c r="AP396" s="82">
        <f t="shared" si="36"/>
        <v>0</v>
      </c>
      <c r="AQ396" s="81">
        <f t="shared" si="37"/>
        <v>-10</v>
      </c>
      <c r="AR396" s="82">
        <f t="shared" si="38"/>
        <v>0.01</v>
      </c>
      <c r="AS396" s="15"/>
      <c r="AT396" s="15"/>
      <c r="AU396" s="16"/>
      <c r="AV396" s="17"/>
      <c r="AW396" s="16"/>
      <c r="AX396" s="15"/>
      <c r="AY396" s="19"/>
      <c r="AZ396" s="15"/>
      <c r="BA396" s="18"/>
      <c r="BB396" s="17"/>
      <c r="BC396" s="17"/>
      <c r="BD396" s="17"/>
      <c r="BE396" s="6"/>
    </row>
    <row r="397" spans="1:57" x14ac:dyDescent="0.25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00"/>
      <c r="AB397" s="100"/>
      <c r="AC397" s="11"/>
      <c r="AD397" s="11"/>
      <c r="AE397" s="11"/>
      <c r="AF397" s="11"/>
      <c r="AG397" s="11"/>
      <c r="AH397" s="11"/>
      <c r="AI397" s="11"/>
      <c r="AJ397" s="11"/>
      <c r="AK397" s="11"/>
      <c r="AL397" s="52"/>
      <c r="AM397" s="53"/>
      <c r="AN397" s="53">
        <f t="shared" si="35"/>
        <v>9</v>
      </c>
      <c r="AO397" s="77">
        <f t="shared" si="34"/>
        <v>-10</v>
      </c>
      <c r="AP397" s="54">
        <f t="shared" si="36"/>
        <v>0</v>
      </c>
      <c r="AQ397" s="77">
        <f t="shared" si="37"/>
        <v>-10</v>
      </c>
      <c r="AR397" s="54">
        <f t="shared" si="38"/>
        <v>0.01</v>
      </c>
      <c r="AS397" s="15"/>
      <c r="AT397" s="15"/>
      <c r="AU397" s="16"/>
      <c r="AV397" s="17"/>
      <c r="AW397" s="16"/>
      <c r="AX397" s="15"/>
      <c r="AY397" s="19"/>
      <c r="AZ397" s="15"/>
      <c r="BA397" s="18"/>
      <c r="BB397" s="17"/>
      <c r="BC397" s="17"/>
      <c r="BD397" s="17"/>
      <c r="BE397" s="6"/>
    </row>
    <row r="398" spans="1:57" x14ac:dyDescent="0.25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00"/>
      <c r="AB398" s="100"/>
      <c r="AC398" s="11"/>
      <c r="AD398" s="11"/>
      <c r="AE398" s="11"/>
      <c r="AF398" s="11"/>
      <c r="AG398" s="11"/>
      <c r="AH398" s="11"/>
      <c r="AI398" s="11"/>
      <c r="AJ398" s="11"/>
      <c r="AK398" s="11"/>
      <c r="AL398" s="57"/>
      <c r="AM398" s="80"/>
      <c r="AN398" s="80">
        <f t="shared" si="35"/>
        <v>9</v>
      </c>
      <c r="AO398" s="81">
        <f t="shared" si="34"/>
        <v>-10</v>
      </c>
      <c r="AP398" s="82">
        <f t="shared" si="36"/>
        <v>0</v>
      </c>
      <c r="AQ398" s="81">
        <f t="shared" si="37"/>
        <v>-10</v>
      </c>
      <c r="AR398" s="82">
        <f t="shared" si="38"/>
        <v>0.01</v>
      </c>
      <c r="AS398" s="15"/>
      <c r="AT398" s="15"/>
      <c r="AU398" s="16"/>
      <c r="AV398" s="17"/>
      <c r="AW398" s="16"/>
      <c r="AX398" s="15"/>
      <c r="AY398" s="19"/>
      <c r="AZ398" s="15"/>
      <c r="BA398" s="18"/>
      <c r="BB398" s="17"/>
      <c r="BC398" s="17"/>
      <c r="BD398" s="17"/>
      <c r="BE398" s="6"/>
    </row>
    <row r="399" spans="1:57" x14ac:dyDescent="0.25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00"/>
      <c r="AB399" s="100"/>
      <c r="AC399" s="11"/>
      <c r="AD399" s="11"/>
      <c r="AE399" s="11"/>
      <c r="AF399" s="11"/>
      <c r="AG399" s="11"/>
      <c r="AH399" s="11"/>
      <c r="AI399" s="11"/>
      <c r="AJ399" s="11"/>
      <c r="AK399" s="11"/>
      <c r="AL399" s="52"/>
      <c r="AM399" s="53"/>
      <c r="AN399" s="53">
        <f t="shared" si="35"/>
        <v>9</v>
      </c>
      <c r="AO399" s="77">
        <f t="shared" si="34"/>
        <v>-10</v>
      </c>
      <c r="AP399" s="54">
        <f t="shared" si="36"/>
        <v>0</v>
      </c>
      <c r="AQ399" s="77">
        <f t="shared" si="37"/>
        <v>-10</v>
      </c>
      <c r="AR399" s="54">
        <f t="shared" si="38"/>
        <v>0.01</v>
      </c>
      <c r="AS399" s="15"/>
      <c r="AT399" s="15"/>
      <c r="AU399" s="16"/>
      <c r="AV399" s="17"/>
      <c r="AW399" s="16"/>
      <c r="AX399" s="15"/>
      <c r="AY399" s="19"/>
      <c r="AZ399" s="15"/>
      <c r="BA399" s="18"/>
      <c r="BB399" s="17"/>
      <c r="BC399" s="17"/>
      <c r="BD399" s="17"/>
      <c r="BE399" s="6"/>
    </row>
    <row r="400" spans="1:57" x14ac:dyDescent="0.25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00"/>
      <c r="AB400" s="100"/>
      <c r="AC400" s="11"/>
      <c r="AD400" s="11"/>
      <c r="AE400" s="11"/>
      <c r="AF400" s="11"/>
      <c r="AG400" s="11"/>
      <c r="AH400" s="11"/>
      <c r="AI400" s="11"/>
      <c r="AJ400" s="11"/>
      <c r="AK400" s="11"/>
      <c r="AL400" s="57"/>
      <c r="AM400" s="80"/>
      <c r="AN400" s="80">
        <f t="shared" si="35"/>
        <v>9</v>
      </c>
      <c r="AO400" s="81">
        <f t="shared" si="34"/>
        <v>-10</v>
      </c>
      <c r="AP400" s="82">
        <f t="shared" si="36"/>
        <v>0</v>
      </c>
      <c r="AQ400" s="81">
        <f t="shared" si="37"/>
        <v>-10</v>
      </c>
      <c r="AR400" s="82">
        <f t="shared" si="38"/>
        <v>0.01</v>
      </c>
      <c r="AS400" s="15"/>
      <c r="AT400" s="15"/>
      <c r="AU400" s="16"/>
      <c r="AV400" s="17"/>
      <c r="AW400" s="16"/>
      <c r="AX400" s="15"/>
      <c r="AY400" s="19"/>
      <c r="AZ400" s="15"/>
      <c r="BA400" s="18"/>
      <c r="BB400" s="17"/>
      <c r="BC400" s="17"/>
      <c r="BD400" s="17"/>
      <c r="BE400" s="6"/>
    </row>
    <row r="401" spans="1:57" x14ac:dyDescent="0.25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00"/>
      <c r="AB401" s="100"/>
      <c r="AC401" s="11"/>
      <c r="AD401" s="11"/>
      <c r="AE401" s="11"/>
      <c r="AF401" s="11"/>
      <c r="AG401" s="11"/>
      <c r="AH401" s="11"/>
      <c r="AI401" s="11"/>
      <c r="AJ401" s="11"/>
      <c r="AK401" s="11"/>
      <c r="AL401" s="52"/>
      <c r="AM401" s="53"/>
      <c r="AN401" s="53">
        <f t="shared" si="35"/>
        <v>9</v>
      </c>
      <c r="AO401" s="77">
        <f t="shared" si="34"/>
        <v>-10</v>
      </c>
      <c r="AP401" s="54">
        <f t="shared" si="36"/>
        <v>0</v>
      </c>
      <c r="AQ401" s="77">
        <f t="shared" si="37"/>
        <v>-10</v>
      </c>
      <c r="AR401" s="54">
        <f t="shared" si="38"/>
        <v>0.01</v>
      </c>
      <c r="AS401" s="15"/>
      <c r="AT401" s="15"/>
      <c r="AU401" s="16"/>
      <c r="AV401" s="17"/>
      <c r="AW401" s="16"/>
      <c r="AX401" s="15"/>
      <c r="AY401" s="19"/>
      <c r="AZ401" s="15"/>
      <c r="BA401" s="18"/>
      <c r="BB401" s="17"/>
      <c r="BC401" s="17"/>
      <c r="BD401" s="17"/>
      <c r="BE401" s="6"/>
    </row>
    <row r="402" spans="1:57" x14ac:dyDescent="0.25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00"/>
      <c r="AB402" s="100"/>
      <c r="AC402" s="11"/>
      <c r="AD402" s="11"/>
      <c r="AE402" s="11"/>
      <c r="AF402" s="11"/>
      <c r="AG402" s="11"/>
      <c r="AH402" s="11"/>
      <c r="AI402" s="11"/>
      <c r="AJ402" s="11"/>
      <c r="AK402" s="11"/>
      <c r="AL402" s="57"/>
      <c r="AM402" s="80"/>
      <c r="AN402" s="80">
        <f t="shared" si="35"/>
        <v>9</v>
      </c>
      <c r="AO402" s="81">
        <f t="shared" si="34"/>
        <v>-10</v>
      </c>
      <c r="AP402" s="82">
        <f t="shared" si="36"/>
        <v>0</v>
      </c>
      <c r="AQ402" s="81">
        <f t="shared" si="37"/>
        <v>-10</v>
      </c>
      <c r="AR402" s="82">
        <f t="shared" si="38"/>
        <v>0.01</v>
      </c>
      <c r="AS402" s="15"/>
      <c r="AT402" s="15"/>
      <c r="AU402" s="16"/>
      <c r="AV402" s="17"/>
      <c r="AW402" s="16"/>
      <c r="AX402" s="15"/>
      <c r="AY402" s="19"/>
      <c r="AZ402" s="15"/>
      <c r="BA402" s="18"/>
      <c r="BB402" s="17"/>
      <c r="BC402" s="17"/>
      <c r="BD402" s="17"/>
      <c r="BE402" s="6"/>
    </row>
    <row r="403" spans="1:57" x14ac:dyDescent="0.25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00"/>
      <c r="AB403" s="100"/>
      <c r="AC403" s="11"/>
      <c r="AD403" s="11"/>
      <c r="AE403" s="11"/>
      <c r="AF403" s="11"/>
      <c r="AG403" s="11"/>
      <c r="AH403" s="11"/>
      <c r="AI403" s="11"/>
      <c r="AJ403" s="11"/>
      <c r="AK403" s="11"/>
      <c r="AL403" s="52"/>
      <c r="AM403" s="53"/>
      <c r="AN403" s="53">
        <f t="shared" si="35"/>
        <v>9</v>
      </c>
      <c r="AO403" s="77">
        <f t="shared" si="34"/>
        <v>-10</v>
      </c>
      <c r="AP403" s="54">
        <f t="shared" si="36"/>
        <v>0</v>
      </c>
      <c r="AQ403" s="77">
        <f t="shared" si="37"/>
        <v>-10</v>
      </c>
      <c r="AR403" s="54">
        <f t="shared" si="38"/>
        <v>0.01</v>
      </c>
      <c r="AS403" s="15"/>
      <c r="AT403" s="15"/>
      <c r="AU403" s="16"/>
      <c r="AV403" s="17"/>
      <c r="AW403" s="16"/>
      <c r="AX403" s="15"/>
      <c r="AY403" s="19"/>
      <c r="AZ403" s="15"/>
      <c r="BA403" s="18"/>
      <c r="BB403" s="17"/>
      <c r="BC403" s="17"/>
      <c r="BD403" s="17"/>
      <c r="BE403" s="6"/>
    </row>
    <row r="404" spans="1:57" x14ac:dyDescent="0.25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00"/>
      <c r="AB404" s="100"/>
      <c r="AC404" s="11"/>
      <c r="AD404" s="11"/>
      <c r="AE404" s="11"/>
      <c r="AF404" s="11"/>
      <c r="AG404" s="11"/>
      <c r="AH404" s="11"/>
      <c r="AI404" s="11"/>
      <c r="AJ404" s="11"/>
      <c r="AK404" s="11"/>
      <c r="AL404" s="57"/>
      <c r="AM404" s="80"/>
      <c r="AN404" s="80">
        <f t="shared" si="35"/>
        <v>9</v>
      </c>
      <c r="AO404" s="81">
        <f t="shared" si="34"/>
        <v>-10</v>
      </c>
      <c r="AP404" s="82">
        <f t="shared" si="36"/>
        <v>0</v>
      </c>
      <c r="AQ404" s="81">
        <f t="shared" si="37"/>
        <v>-10</v>
      </c>
      <c r="AR404" s="82">
        <f t="shared" si="38"/>
        <v>0.01</v>
      </c>
      <c r="AS404" s="15"/>
      <c r="AT404" s="15"/>
      <c r="AU404" s="16"/>
      <c r="AV404" s="17"/>
      <c r="AW404" s="16"/>
      <c r="AX404" s="15"/>
      <c r="AY404" s="19"/>
      <c r="AZ404" s="15"/>
      <c r="BA404" s="18"/>
      <c r="BB404" s="17"/>
      <c r="BC404" s="17"/>
      <c r="BD404" s="17"/>
      <c r="BE404" s="6"/>
    </row>
    <row r="405" spans="1:57" x14ac:dyDescent="0.25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00"/>
      <c r="AB405" s="100"/>
      <c r="AC405" s="11"/>
      <c r="AD405" s="11"/>
      <c r="AE405" s="11"/>
      <c r="AF405" s="11"/>
      <c r="AG405" s="11"/>
      <c r="AH405" s="11"/>
      <c r="AI405" s="11"/>
      <c r="AJ405" s="11"/>
      <c r="AK405" s="11"/>
      <c r="AL405" s="52"/>
      <c r="AM405" s="53"/>
      <c r="AN405" s="53">
        <f t="shared" si="35"/>
        <v>9</v>
      </c>
      <c r="AO405" s="77">
        <f t="shared" si="34"/>
        <v>-10</v>
      </c>
      <c r="AP405" s="54">
        <f t="shared" si="36"/>
        <v>0</v>
      </c>
      <c r="AQ405" s="77">
        <f t="shared" si="37"/>
        <v>-10</v>
      </c>
      <c r="AR405" s="54">
        <f t="shared" si="38"/>
        <v>0.01</v>
      </c>
      <c r="AS405" s="15"/>
      <c r="AT405" s="15"/>
      <c r="AU405" s="16"/>
      <c r="AV405" s="17"/>
      <c r="AW405" s="16"/>
      <c r="AX405" s="15"/>
      <c r="AY405" s="19"/>
      <c r="AZ405" s="15"/>
      <c r="BA405" s="18"/>
      <c r="BB405" s="17"/>
      <c r="BC405" s="17"/>
      <c r="BD405" s="17"/>
      <c r="BE405" s="6"/>
    </row>
    <row r="406" spans="1:57" x14ac:dyDescent="0.25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00"/>
      <c r="AB406" s="100"/>
      <c r="AC406" s="11"/>
      <c r="AD406" s="11"/>
      <c r="AE406" s="11"/>
      <c r="AF406" s="11"/>
      <c r="AG406" s="11"/>
      <c r="AH406" s="11"/>
      <c r="AI406" s="11"/>
      <c r="AJ406" s="11"/>
      <c r="AK406" s="11"/>
      <c r="AL406" s="57"/>
      <c r="AM406" s="80"/>
      <c r="AN406" s="80">
        <f t="shared" si="35"/>
        <v>9</v>
      </c>
      <c r="AO406" s="81">
        <f t="shared" si="34"/>
        <v>-10</v>
      </c>
      <c r="AP406" s="82">
        <f t="shared" si="36"/>
        <v>0</v>
      </c>
      <c r="AQ406" s="81">
        <f t="shared" si="37"/>
        <v>-10</v>
      </c>
      <c r="AR406" s="82">
        <f t="shared" si="38"/>
        <v>0.01</v>
      </c>
      <c r="AS406" s="15"/>
      <c r="AT406" s="15"/>
      <c r="AU406" s="16"/>
      <c r="AV406" s="17"/>
      <c r="AW406" s="16"/>
      <c r="AX406" s="15"/>
      <c r="AY406" s="19"/>
      <c r="AZ406" s="15"/>
      <c r="BA406" s="18"/>
      <c r="BB406" s="17"/>
      <c r="BC406" s="17"/>
      <c r="BD406" s="17"/>
      <c r="BE406" s="6"/>
    </row>
    <row r="407" spans="1:57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00"/>
      <c r="AB407" s="100"/>
      <c r="AC407" s="11"/>
      <c r="AD407" s="11"/>
      <c r="AE407" s="11"/>
      <c r="AF407" s="11"/>
      <c r="AG407" s="11"/>
      <c r="AH407" s="11"/>
      <c r="AI407" s="11"/>
      <c r="AJ407" s="11"/>
      <c r="AK407" s="11"/>
      <c r="AL407" s="52"/>
      <c r="AM407" s="53"/>
      <c r="AN407" s="53">
        <f t="shared" si="35"/>
        <v>9</v>
      </c>
      <c r="AO407" s="77">
        <f t="shared" si="34"/>
        <v>-10</v>
      </c>
      <c r="AP407" s="54">
        <f t="shared" si="36"/>
        <v>0</v>
      </c>
      <c r="AQ407" s="77">
        <f t="shared" si="37"/>
        <v>-10</v>
      </c>
      <c r="AR407" s="54">
        <f t="shared" si="38"/>
        <v>0.01</v>
      </c>
      <c r="AS407" s="15"/>
      <c r="AT407" s="15"/>
      <c r="AU407" s="16"/>
      <c r="AV407" s="17"/>
      <c r="AW407" s="16"/>
      <c r="AX407" s="15"/>
      <c r="AY407" s="19"/>
      <c r="AZ407" s="15"/>
      <c r="BA407" s="18"/>
      <c r="BB407" s="17"/>
      <c r="BC407" s="17"/>
      <c r="BD407" s="17"/>
      <c r="BE407" s="6"/>
    </row>
    <row r="408" spans="1:57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00"/>
      <c r="AB408" s="100"/>
      <c r="AC408" s="11"/>
      <c r="AD408" s="11"/>
      <c r="AE408" s="11"/>
      <c r="AF408" s="11"/>
      <c r="AG408" s="11"/>
      <c r="AH408" s="11"/>
      <c r="AI408" s="11"/>
      <c r="AJ408" s="11"/>
      <c r="AK408" s="11"/>
      <c r="AL408" s="57"/>
      <c r="AM408" s="80"/>
      <c r="AN408" s="80">
        <f t="shared" si="35"/>
        <v>9</v>
      </c>
      <c r="AO408" s="81">
        <f t="shared" si="34"/>
        <v>-10</v>
      </c>
      <c r="AP408" s="82">
        <f t="shared" si="36"/>
        <v>0</v>
      </c>
      <c r="AQ408" s="81">
        <f t="shared" si="37"/>
        <v>-10</v>
      </c>
      <c r="AR408" s="82">
        <f t="shared" si="38"/>
        <v>0.01</v>
      </c>
      <c r="AS408" s="15"/>
      <c r="AT408" s="15"/>
      <c r="AU408" s="16"/>
      <c r="AV408" s="17"/>
      <c r="AW408" s="16"/>
      <c r="AX408" s="15"/>
      <c r="AY408" s="19"/>
      <c r="AZ408" s="15"/>
      <c r="BA408" s="18"/>
      <c r="BB408" s="17"/>
      <c r="BC408" s="17"/>
      <c r="BD408" s="17"/>
      <c r="BE408" s="6"/>
    </row>
    <row r="409" spans="1:57" x14ac:dyDescent="0.25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00"/>
      <c r="AB409" s="100"/>
      <c r="AC409" s="11"/>
      <c r="AD409" s="11"/>
      <c r="AE409" s="11"/>
      <c r="AF409" s="11"/>
      <c r="AG409" s="11"/>
      <c r="AH409" s="11"/>
      <c r="AI409" s="11"/>
      <c r="AJ409" s="11"/>
      <c r="AK409" s="11"/>
      <c r="AL409" s="52"/>
      <c r="AM409" s="53"/>
      <c r="AN409" s="53">
        <f t="shared" si="35"/>
        <v>9</v>
      </c>
      <c r="AO409" s="77">
        <f t="shared" si="34"/>
        <v>-10</v>
      </c>
      <c r="AP409" s="54">
        <f t="shared" si="36"/>
        <v>0</v>
      </c>
      <c r="AQ409" s="77">
        <f t="shared" si="37"/>
        <v>-10</v>
      </c>
      <c r="AR409" s="54">
        <f t="shared" si="38"/>
        <v>0.01</v>
      </c>
      <c r="AS409" s="15"/>
      <c r="AT409" s="15"/>
      <c r="AU409" s="16"/>
      <c r="AV409" s="17"/>
      <c r="AW409" s="16"/>
      <c r="AX409" s="15"/>
      <c r="AY409" s="19"/>
      <c r="AZ409" s="15"/>
      <c r="BA409" s="18"/>
      <c r="BB409" s="17"/>
      <c r="BC409" s="17"/>
      <c r="BD409" s="17"/>
      <c r="BE409" s="6"/>
    </row>
    <row r="410" spans="1:57" x14ac:dyDescent="0.25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00"/>
      <c r="AB410" s="100"/>
      <c r="AC410" s="11"/>
      <c r="AD410" s="11"/>
      <c r="AE410" s="11"/>
      <c r="AF410" s="11"/>
      <c r="AG410" s="11"/>
      <c r="AH410" s="11"/>
      <c r="AI410" s="11"/>
      <c r="AJ410" s="11"/>
      <c r="AK410" s="11"/>
      <c r="AL410" s="57"/>
      <c r="AM410" s="80"/>
      <c r="AN410" s="80">
        <f t="shared" si="35"/>
        <v>9</v>
      </c>
      <c r="AO410" s="81">
        <f t="shared" si="34"/>
        <v>-10</v>
      </c>
      <c r="AP410" s="82">
        <f t="shared" si="36"/>
        <v>0</v>
      </c>
      <c r="AQ410" s="81">
        <f t="shared" si="37"/>
        <v>-10</v>
      </c>
      <c r="AR410" s="82">
        <f t="shared" si="38"/>
        <v>0.01</v>
      </c>
      <c r="AS410" s="15"/>
      <c r="AT410" s="15"/>
      <c r="AU410" s="16"/>
      <c r="AV410" s="17"/>
      <c r="AW410" s="16"/>
      <c r="AX410" s="15"/>
      <c r="AY410" s="19"/>
      <c r="AZ410" s="15"/>
      <c r="BA410" s="18"/>
      <c r="BB410" s="17"/>
      <c r="BC410" s="17"/>
      <c r="BD410" s="17"/>
      <c r="BE410" s="6"/>
    </row>
    <row r="411" spans="1:57" x14ac:dyDescent="0.25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00"/>
      <c r="AB411" s="100"/>
      <c r="AC411" s="11"/>
      <c r="AD411" s="11"/>
      <c r="AE411" s="11"/>
      <c r="AF411" s="11"/>
      <c r="AG411" s="11"/>
      <c r="AH411" s="11"/>
      <c r="AI411" s="11"/>
      <c r="AJ411" s="11"/>
      <c r="AK411" s="11"/>
      <c r="AL411" s="52"/>
      <c r="AM411" s="53"/>
      <c r="AN411" s="53">
        <f t="shared" si="35"/>
        <v>9</v>
      </c>
      <c r="AO411" s="77">
        <f t="shared" si="34"/>
        <v>-10</v>
      </c>
      <c r="AP411" s="54">
        <f t="shared" si="36"/>
        <v>0</v>
      </c>
      <c r="AQ411" s="77">
        <f t="shared" si="37"/>
        <v>-10</v>
      </c>
      <c r="AR411" s="54">
        <f t="shared" si="38"/>
        <v>0.01</v>
      </c>
      <c r="AS411" s="15"/>
      <c r="AT411" s="15"/>
      <c r="AU411" s="16"/>
      <c r="AV411" s="17"/>
      <c r="AW411" s="16"/>
      <c r="AX411" s="15"/>
      <c r="AY411" s="19"/>
      <c r="AZ411" s="15"/>
      <c r="BA411" s="18"/>
      <c r="BB411" s="17"/>
      <c r="BC411" s="17"/>
      <c r="BD411" s="17"/>
      <c r="BE411" s="6"/>
    </row>
    <row r="412" spans="1:57" x14ac:dyDescent="0.25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00"/>
      <c r="AB412" s="100"/>
      <c r="AC412" s="11"/>
      <c r="AD412" s="11"/>
      <c r="AE412" s="11"/>
      <c r="AF412" s="11"/>
      <c r="AG412" s="11"/>
      <c r="AH412" s="11"/>
      <c r="AI412" s="11"/>
      <c r="AJ412" s="11"/>
      <c r="AK412" s="11"/>
      <c r="AL412" s="57"/>
      <c r="AM412" s="80"/>
      <c r="AN412" s="80">
        <f t="shared" si="35"/>
        <v>9</v>
      </c>
      <c r="AO412" s="81">
        <f t="shared" si="34"/>
        <v>-10</v>
      </c>
      <c r="AP412" s="82">
        <f t="shared" si="36"/>
        <v>0</v>
      </c>
      <c r="AQ412" s="81">
        <f t="shared" si="37"/>
        <v>-10</v>
      </c>
      <c r="AR412" s="82">
        <f t="shared" si="38"/>
        <v>0.01</v>
      </c>
      <c r="AS412" s="15"/>
      <c r="AT412" s="15"/>
      <c r="AU412" s="16"/>
      <c r="AV412" s="17"/>
      <c r="AW412" s="16"/>
      <c r="AX412" s="15"/>
      <c r="AY412" s="19"/>
      <c r="AZ412" s="15"/>
      <c r="BA412" s="18"/>
      <c r="BB412" s="17"/>
      <c r="BC412" s="17"/>
      <c r="BD412" s="17"/>
      <c r="BE412" s="6"/>
    </row>
    <row r="413" spans="1:57" x14ac:dyDescent="0.25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00"/>
      <c r="AB413" s="100"/>
      <c r="AC413" s="11"/>
      <c r="AD413" s="11"/>
      <c r="AE413" s="11"/>
      <c r="AF413" s="11"/>
      <c r="AG413" s="11"/>
      <c r="AH413" s="11"/>
      <c r="AI413" s="11"/>
      <c r="AJ413" s="11"/>
      <c r="AK413" s="11"/>
      <c r="AL413" s="52"/>
      <c r="AM413" s="53"/>
      <c r="AN413" s="53">
        <f t="shared" si="35"/>
        <v>9</v>
      </c>
      <c r="AO413" s="77">
        <f t="shared" si="34"/>
        <v>-10</v>
      </c>
      <c r="AP413" s="54">
        <f t="shared" si="36"/>
        <v>0</v>
      </c>
      <c r="AQ413" s="77">
        <f t="shared" si="37"/>
        <v>-10</v>
      </c>
      <c r="AR413" s="54">
        <f t="shared" si="38"/>
        <v>0.01</v>
      </c>
      <c r="AS413" s="15"/>
      <c r="AT413" s="15"/>
      <c r="AU413" s="16"/>
      <c r="AV413" s="17"/>
      <c r="AW413" s="16"/>
      <c r="AX413" s="15"/>
      <c r="AY413" s="19"/>
      <c r="AZ413" s="15"/>
      <c r="BA413" s="18"/>
      <c r="BB413" s="17"/>
      <c r="BC413" s="17"/>
      <c r="BD413" s="17"/>
      <c r="BE413" s="6"/>
    </row>
    <row r="414" spans="1:57" x14ac:dyDescent="0.25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00"/>
      <c r="AB414" s="100"/>
      <c r="AC414" s="11"/>
      <c r="AD414" s="11"/>
      <c r="AE414" s="11"/>
      <c r="AF414" s="11"/>
      <c r="AG414" s="11"/>
      <c r="AH414" s="11"/>
      <c r="AI414" s="11"/>
      <c r="AJ414" s="11"/>
      <c r="AK414" s="11"/>
      <c r="AL414" s="57"/>
      <c r="AM414" s="80"/>
      <c r="AN414" s="80">
        <f t="shared" si="35"/>
        <v>9</v>
      </c>
      <c r="AO414" s="81">
        <f t="shared" si="34"/>
        <v>-10</v>
      </c>
      <c r="AP414" s="82">
        <f t="shared" si="36"/>
        <v>0</v>
      </c>
      <c r="AQ414" s="81">
        <f t="shared" si="37"/>
        <v>-10</v>
      </c>
      <c r="AR414" s="82">
        <f t="shared" si="38"/>
        <v>0.01</v>
      </c>
      <c r="AS414" s="15"/>
      <c r="AT414" s="15"/>
      <c r="AU414" s="16"/>
      <c r="AV414" s="17"/>
      <c r="AW414" s="16"/>
      <c r="AX414" s="15"/>
      <c r="AY414" s="19"/>
      <c r="AZ414" s="15"/>
      <c r="BA414" s="18"/>
      <c r="BB414" s="17"/>
      <c r="BC414" s="17"/>
      <c r="BD414" s="17"/>
      <c r="BE414" s="6"/>
    </row>
    <row r="415" spans="1:57" x14ac:dyDescent="0.25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00"/>
      <c r="AB415" s="100"/>
      <c r="AC415" s="11"/>
      <c r="AD415" s="11"/>
      <c r="AE415" s="11"/>
      <c r="AF415" s="11"/>
      <c r="AG415" s="11"/>
      <c r="AH415" s="11"/>
      <c r="AI415" s="11"/>
      <c r="AJ415" s="11"/>
      <c r="AK415" s="11"/>
      <c r="AL415" s="52"/>
      <c r="AM415" s="53"/>
      <c r="AN415" s="53">
        <f t="shared" si="35"/>
        <v>9</v>
      </c>
      <c r="AO415" s="77">
        <f t="shared" si="34"/>
        <v>-10</v>
      </c>
      <c r="AP415" s="54">
        <f t="shared" si="36"/>
        <v>0</v>
      </c>
      <c r="AQ415" s="77">
        <f t="shared" si="37"/>
        <v>-10</v>
      </c>
      <c r="AR415" s="54">
        <f t="shared" si="38"/>
        <v>0.01</v>
      </c>
      <c r="AS415" s="15"/>
      <c r="AT415" s="15"/>
      <c r="AU415" s="16"/>
      <c r="AV415" s="17"/>
      <c r="AW415" s="16"/>
      <c r="AX415" s="15"/>
      <c r="AY415" s="19"/>
      <c r="AZ415" s="15"/>
      <c r="BA415" s="18"/>
      <c r="BB415" s="17"/>
      <c r="BC415" s="17"/>
      <c r="BD415" s="17"/>
      <c r="BE415" s="6"/>
    </row>
    <row r="416" spans="1:57" x14ac:dyDescent="0.25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00"/>
      <c r="AB416" s="100"/>
      <c r="AC416" s="11"/>
      <c r="AD416" s="11"/>
      <c r="AE416" s="11"/>
      <c r="AF416" s="11"/>
      <c r="AG416" s="11"/>
      <c r="AH416" s="11"/>
      <c r="AI416" s="11"/>
      <c r="AJ416" s="11"/>
      <c r="AK416" s="11"/>
      <c r="AL416" s="57"/>
      <c r="AM416" s="80"/>
      <c r="AN416" s="80">
        <f t="shared" si="35"/>
        <v>9</v>
      </c>
      <c r="AO416" s="81">
        <f t="shared" si="34"/>
        <v>-10</v>
      </c>
      <c r="AP416" s="82">
        <f t="shared" si="36"/>
        <v>0</v>
      </c>
      <c r="AQ416" s="81">
        <f t="shared" si="37"/>
        <v>-10</v>
      </c>
      <c r="AR416" s="82">
        <f t="shared" si="38"/>
        <v>0.01</v>
      </c>
      <c r="AS416" s="15"/>
      <c r="AT416" s="15"/>
      <c r="AU416" s="16"/>
      <c r="AV416" s="17"/>
      <c r="AW416" s="16"/>
      <c r="AX416" s="15"/>
      <c r="AY416" s="19"/>
      <c r="AZ416" s="15"/>
      <c r="BA416" s="18"/>
      <c r="BB416" s="17"/>
      <c r="BC416" s="17"/>
      <c r="BD416" s="17"/>
      <c r="BE416" s="6"/>
    </row>
    <row r="417" spans="1:57" x14ac:dyDescent="0.25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00"/>
      <c r="AB417" s="100"/>
      <c r="AC417" s="11"/>
      <c r="AD417" s="11"/>
      <c r="AE417" s="11"/>
      <c r="AF417" s="11"/>
      <c r="AG417" s="11"/>
      <c r="AH417" s="11"/>
      <c r="AI417" s="11"/>
      <c r="AJ417" s="11"/>
      <c r="AK417" s="11"/>
      <c r="AL417" s="52"/>
      <c r="AM417" s="53"/>
      <c r="AN417" s="53">
        <f t="shared" si="35"/>
        <v>9</v>
      </c>
      <c r="AO417" s="77">
        <f t="shared" si="34"/>
        <v>-10</v>
      </c>
      <c r="AP417" s="54">
        <f t="shared" si="36"/>
        <v>0</v>
      </c>
      <c r="AQ417" s="77">
        <f t="shared" si="37"/>
        <v>-10</v>
      </c>
      <c r="AR417" s="54">
        <f t="shared" si="38"/>
        <v>0.01</v>
      </c>
      <c r="AS417" s="15"/>
      <c r="AT417" s="15"/>
      <c r="AU417" s="16"/>
      <c r="AV417" s="17"/>
      <c r="AW417" s="16"/>
      <c r="AX417" s="15"/>
      <c r="AY417" s="19"/>
      <c r="AZ417" s="15"/>
      <c r="BA417" s="18"/>
      <c r="BB417" s="17"/>
      <c r="BC417" s="17"/>
      <c r="BD417" s="17"/>
      <c r="BE417" s="6"/>
    </row>
    <row r="418" spans="1:57" x14ac:dyDescent="0.25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00"/>
      <c r="AB418" s="100"/>
      <c r="AC418" s="11"/>
      <c r="AD418" s="11"/>
      <c r="AE418" s="11"/>
      <c r="AF418" s="11"/>
      <c r="AG418" s="11"/>
      <c r="AH418" s="11"/>
      <c r="AI418" s="11"/>
      <c r="AJ418" s="11"/>
      <c r="AK418" s="11"/>
      <c r="AL418" s="57"/>
      <c r="AM418" s="80"/>
      <c r="AN418" s="80">
        <f t="shared" si="35"/>
        <v>9</v>
      </c>
      <c r="AO418" s="81">
        <f t="shared" si="34"/>
        <v>-10</v>
      </c>
      <c r="AP418" s="82">
        <f t="shared" si="36"/>
        <v>0</v>
      </c>
      <c r="AQ418" s="81">
        <f t="shared" si="37"/>
        <v>-10</v>
      </c>
      <c r="AR418" s="82">
        <f t="shared" si="38"/>
        <v>0.01</v>
      </c>
      <c r="AS418" s="15"/>
      <c r="AT418" s="15"/>
      <c r="AU418" s="16"/>
      <c r="AV418" s="17"/>
      <c r="AW418" s="16"/>
      <c r="AX418" s="15"/>
      <c r="AY418" s="19"/>
      <c r="AZ418" s="15"/>
      <c r="BA418" s="18"/>
      <c r="BB418" s="17"/>
      <c r="BC418" s="17"/>
      <c r="BD418" s="17"/>
      <c r="BE418" s="6"/>
    </row>
    <row r="419" spans="1:57" x14ac:dyDescent="0.25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00"/>
      <c r="AB419" s="100"/>
      <c r="AC419" s="11"/>
      <c r="AD419" s="11"/>
      <c r="AE419" s="11"/>
      <c r="AF419" s="11"/>
      <c r="AG419" s="11"/>
      <c r="AH419" s="11"/>
      <c r="AI419" s="11"/>
      <c r="AJ419" s="11"/>
      <c r="AK419" s="11"/>
      <c r="AL419" s="52"/>
      <c r="AM419" s="53"/>
      <c r="AN419" s="53">
        <f t="shared" si="35"/>
        <v>9</v>
      </c>
      <c r="AO419" s="77">
        <f t="shared" si="34"/>
        <v>-10</v>
      </c>
      <c r="AP419" s="54">
        <f t="shared" si="36"/>
        <v>0</v>
      </c>
      <c r="AQ419" s="77">
        <f t="shared" si="37"/>
        <v>-10</v>
      </c>
      <c r="AR419" s="54">
        <f t="shared" si="38"/>
        <v>0.01</v>
      </c>
      <c r="AS419" s="15"/>
      <c r="AT419" s="15"/>
      <c r="AU419" s="16"/>
      <c r="AV419" s="17"/>
      <c r="AW419" s="16"/>
      <c r="AX419" s="15"/>
      <c r="AY419" s="19"/>
      <c r="AZ419" s="15"/>
      <c r="BA419" s="18"/>
      <c r="BB419" s="17"/>
      <c r="BC419" s="17"/>
      <c r="BD419" s="17"/>
      <c r="BE419" s="6"/>
    </row>
    <row r="420" spans="1:57" x14ac:dyDescent="0.25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00"/>
      <c r="AB420" s="100"/>
      <c r="AC420" s="11"/>
      <c r="AD420" s="11"/>
      <c r="AE420" s="11"/>
      <c r="AF420" s="11"/>
      <c r="AG420" s="11"/>
      <c r="AH420" s="11"/>
      <c r="AI420" s="11"/>
      <c r="AJ420" s="11"/>
      <c r="AK420" s="11"/>
      <c r="AL420" s="57"/>
      <c r="AM420" s="80"/>
      <c r="AN420" s="80">
        <f t="shared" si="35"/>
        <v>9</v>
      </c>
      <c r="AO420" s="81">
        <f t="shared" si="34"/>
        <v>-10</v>
      </c>
      <c r="AP420" s="82">
        <f t="shared" si="36"/>
        <v>0</v>
      </c>
      <c r="AQ420" s="81">
        <f t="shared" si="37"/>
        <v>-10</v>
      </c>
      <c r="AR420" s="82">
        <f t="shared" si="38"/>
        <v>0.01</v>
      </c>
      <c r="AS420" s="15"/>
      <c r="AT420" s="15"/>
      <c r="AU420" s="16"/>
      <c r="AV420" s="17"/>
      <c r="AW420" s="16"/>
      <c r="AX420" s="15"/>
      <c r="AY420" s="19"/>
      <c r="AZ420" s="15"/>
      <c r="BA420" s="18"/>
      <c r="BB420" s="17"/>
      <c r="BC420" s="17"/>
      <c r="BD420" s="17"/>
      <c r="BE420" s="6"/>
    </row>
    <row r="421" spans="1:57" x14ac:dyDescent="0.25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00"/>
      <c r="AB421" s="100"/>
      <c r="AC421" s="11"/>
      <c r="AD421" s="11"/>
      <c r="AE421" s="11"/>
      <c r="AF421" s="11"/>
      <c r="AG421" s="11"/>
      <c r="AH421" s="11"/>
      <c r="AI421" s="11"/>
      <c r="AJ421" s="11"/>
      <c r="AK421" s="11"/>
      <c r="AL421" s="52"/>
      <c r="AM421" s="53"/>
      <c r="AN421" s="53">
        <f t="shared" si="35"/>
        <v>9</v>
      </c>
      <c r="AO421" s="77">
        <f t="shared" si="34"/>
        <v>-10</v>
      </c>
      <c r="AP421" s="54">
        <f t="shared" si="36"/>
        <v>0</v>
      </c>
      <c r="AQ421" s="77">
        <f t="shared" si="37"/>
        <v>-10</v>
      </c>
      <c r="AR421" s="54">
        <f t="shared" si="38"/>
        <v>0.01</v>
      </c>
      <c r="AS421" s="15"/>
      <c r="AT421" s="15"/>
      <c r="AU421" s="16"/>
      <c r="AV421" s="17"/>
      <c r="AW421" s="16"/>
      <c r="AX421" s="15"/>
      <c r="AY421" s="19"/>
      <c r="AZ421" s="15"/>
      <c r="BA421" s="18"/>
      <c r="BB421" s="17"/>
      <c r="BC421" s="17"/>
      <c r="BD421" s="17"/>
      <c r="BE421" s="6"/>
    </row>
    <row r="422" spans="1:57" x14ac:dyDescent="0.25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00"/>
      <c r="AB422" s="100"/>
      <c r="AC422" s="11"/>
      <c r="AD422" s="11"/>
      <c r="AE422" s="11"/>
      <c r="AF422" s="11"/>
      <c r="AG422" s="11"/>
      <c r="AH422" s="11"/>
      <c r="AI422" s="11"/>
      <c r="AJ422" s="11"/>
      <c r="AK422" s="11"/>
      <c r="AL422" s="57"/>
      <c r="AM422" s="80"/>
      <c r="AN422" s="80">
        <f t="shared" si="35"/>
        <v>9</v>
      </c>
      <c r="AO422" s="81">
        <f t="shared" si="34"/>
        <v>-10</v>
      </c>
      <c r="AP422" s="82">
        <f t="shared" si="36"/>
        <v>0</v>
      </c>
      <c r="AQ422" s="81">
        <f t="shared" si="37"/>
        <v>-10</v>
      </c>
      <c r="AR422" s="82">
        <f t="shared" si="38"/>
        <v>0.01</v>
      </c>
      <c r="AS422" s="15"/>
      <c r="AT422" s="15"/>
      <c r="AU422" s="16"/>
      <c r="AV422" s="17"/>
      <c r="AW422" s="16"/>
      <c r="AX422" s="15"/>
      <c r="AY422" s="19"/>
      <c r="AZ422" s="15"/>
      <c r="BA422" s="18"/>
      <c r="BB422" s="17"/>
      <c r="BC422" s="17"/>
      <c r="BD422" s="17"/>
      <c r="BE422" s="6"/>
    </row>
    <row r="423" spans="1:57" x14ac:dyDescent="0.25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00"/>
      <c r="AB423" s="100"/>
      <c r="AC423" s="11"/>
      <c r="AD423" s="11"/>
      <c r="AE423" s="11"/>
      <c r="AF423" s="11"/>
      <c r="AG423" s="11"/>
      <c r="AH423" s="11"/>
      <c r="AI423" s="11"/>
      <c r="AJ423" s="11"/>
      <c r="AK423" s="11"/>
      <c r="AL423" s="52"/>
      <c r="AM423" s="53"/>
      <c r="AN423" s="53">
        <f t="shared" si="35"/>
        <v>9</v>
      </c>
      <c r="AO423" s="77">
        <f t="shared" si="34"/>
        <v>-10</v>
      </c>
      <c r="AP423" s="54">
        <f t="shared" si="36"/>
        <v>0</v>
      </c>
      <c r="AQ423" s="77">
        <f t="shared" si="37"/>
        <v>-10</v>
      </c>
      <c r="AR423" s="54">
        <f t="shared" si="38"/>
        <v>0.01</v>
      </c>
      <c r="AS423" s="15"/>
      <c r="AT423" s="15"/>
      <c r="AU423" s="16"/>
      <c r="AV423" s="17"/>
      <c r="AW423" s="16"/>
      <c r="AX423" s="15"/>
      <c r="AY423" s="19"/>
      <c r="AZ423" s="15"/>
      <c r="BA423" s="18"/>
      <c r="BB423" s="17"/>
      <c r="BC423" s="17"/>
      <c r="BD423" s="17"/>
      <c r="BE423" s="6"/>
    </row>
    <row r="424" spans="1:57" x14ac:dyDescent="0.25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00"/>
      <c r="AB424" s="100"/>
      <c r="AC424" s="11"/>
      <c r="AD424" s="11"/>
      <c r="AE424" s="11"/>
      <c r="AF424" s="11"/>
      <c r="AG424" s="11"/>
      <c r="AH424" s="11"/>
      <c r="AI424" s="11"/>
      <c r="AJ424" s="11"/>
      <c r="AK424" s="11"/>
      <c r="AL424" s="57"/>
      <c r="AM424" s="80"/>
      <c r="AN424" s="80">
        <f t="shared" si="35"/>
        <v>9</v>
      </c>
      <c r="AO424" s="81">
        <f t="shared" si="34"/>
        <v>-10</v>
      </c>
      <c r="AP424" s="82">
        <f t="shared" si="36"/>
        <v>0</v>
      </c>
      <c r="AQ424" s="81">
        <f t="shared" si="37"/>
        <v>-10</v>
      </c>
      <c r="AR424" s="82">
        <f t="shared" si="38"/>
        <v>0.01</v>
      </c>
      <c r="AS424" s="15"/>
      <c r="AT424" s="15"/>
      <c r="AU424" s="16"/>
      <c r="AV424" s="17"/>
      <c r="AW424" s="16"/>
      <c r="AX424" s="15"/>
      <c r="AY424" s="19"/>
      <c r="AZ424" s="15"/>
      <c r="BA424" s="18"/>
      <c r="BB424" s="17"/>
      <c r="BC424" s="17"/>
      <c r="BD424" s="17"/>
      <c r="BE424" s="6"/>
    </row>
    <row r="425" spans="1:57" x14ac:dyDescent="0.25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00"/>
      <c r="AB425" s="100"/>
      <c r="AC425" s="11"/>
      <c r="AD425" s="11"/>
      <c r="AE425" s="11"/>
      <c r="AF425" s="11"/>
      <c r="AG425" s="11"/>
      <c r="AH425" s="11"/>
      <c r="AI425" s="11"/>
      <c r="AJ425" s="11"/>
      <c r="AK425" s="11"/>
      <c r="AL425" s="52"/>
      <c r="AM425" s="53"/>
      <c r="AN425" s="53">
        <f t="shared" si="35"/>
        <v>9</v>
      </c>
      <c r="AO425" s="77">
        <f t="shared" si="34"/>
        <v>-10</v>
      </c>
      <c r="AP425" s="54">
        <f t="shared" si="36"/>
        <v>0</v>
      </c>
      <c r="AQ425" s="77">
        <f t="shared" si="37"/>
        <v>-10</v>
      </c>
      <c r="AR425" s="54">
        <f t="shared" si="38"/>
        <v>0.01</v>
      </c>
      <c r="AS425" s="15"/>
      <c r="AT425" s="15"/>
      <c r="AU425" s="16"/>
      <c r="AV425" s="17"/>
      <c r="AW425" s="16"/>
      <c r="AX425" s="15"/>
      <c r="AY425" s="19"/>
      <c r="AZ425" s="15"/>
      <c r="BA425" s="18"/>
      <c r="BB425" s="17"/>
      <c r="BC425" s="17"/>
      <c r="BD425" s="17"/>
      <c r="BE425" s="6"/>
    </row>
    <row r="426" spans="1:57" x14ac:dyDescent="0.25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00"/>
      <c r="AB426" s="100"/>
      <c r="AC426" s="11"/>
      <c r="AD426" s="11"/>
      <c r="AE426" s="11"/>
      <c r="AF426" s="11"/>
      <c r="AG426" s="11"/>
      <c r="AH426" s="11"/>
      <c r="AI426" s="11"/>
      <c r="AJ426" s="11"/>
      <c r="AK426" s="11"/>
      <c r="AL426" s="57"/>
      <c r="AM426" s="80"/>
      <c r="AN426" s="80">
        <f t="shared" si="35"/>
        <v>9</v>
      </c>
      <c r="AO426" s="81">
        <f t="shared" si="34"/>
        <v>-10</v>
      </c>
      <c r="AP426" s="82">
        <f t="shared" si="36"/>
        <v>0</v>
      </c>
      <c r="AQ426" s="81">
        <f t="shared" si="37"/>
        <v>-10</v>
      </c>
      <c r="AR426" s="82">
        <f t="shared" si="38"/>
        <v>0.01</v>
      </c>
      <c r="AS426" s="15"/>
      <c r="AT426" s="15"/>
      <c r="AU426" s="16"/>
      <c r="AV426" s="17"/>
      <c r="AW426" s="16"/>
      <c r="AX426" s="15"/>
      <c r="AY426" s="19"/>
      <c r="AZ426" s="15"/>
      <c r="BA426" s="18"/>
      <c r="BB426" s="17"/>
      <c r="BC426" s="17"/>
      <c r="BD426" s="17"/>
      <c r="BE426" s="6"/>
    </row>
    <row r="427" spans="1:57" x14ac:dyDescent="0.25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00"/>
      <c r="AB427" s="100"/>
      <c r="AC427" s="11"/>
      <c r="AD427" s="11"/>
      <c r="AE427" s="11"/>
      <c r="AF427" s="11"/>
      <c r="AG427" s="11"/>
      <c r="AH427" s="11"/>
      <c r="AI427" s="11"/>
      <c r="AJ427" s="11"/>
      <c r="AK427" s="11"/>
      <c r="AL427" s="52"/>
      <c r="AM427" s="53"/>
      <c r="AN427" s="53">
        <f t="shared" si="35"/>
        <v>9</v>
      </c>
      <c r="AO427" s="77">
        <f t="shared" si="34"/>
        <v>-10</v>
      </c>
      <c r="AP427" s="54">
        <f t="shared" si="36"/>
        <v>0</v>
      </c>
      <c r="AQ427" s="77">
        <f t="shared" si="37"/>
        <v>-10</v>
      </c>
      <c r="AR427" s="54">
        <f t="shared" si="38"/>
        <v>0.01</v>
      </c>
      <c r="AS427" s="15"/>
      <c r="AT427" s="15"/>
      <c r="AU427" s="16"/>
      <c r="AV427" s="17"/>
      <c r="AW427" s="16"/>
      <c r="AX427" s="15"/>
      <c r="AY427" s="19"/>
      <c r="AZ427" s="15"/>
      <c r="BA427" s="18"/>
      <c r="BB427" s="17"/>
      <c r="BC427" s="17"/>
      <c r="BD427" s="17"/>
      <c r="BE427" s="6"/>
    </row>
    <row r="428" spans="1:57" x14ac:dyDescent="0.25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00"/>
      <c r="AB428" s="100"/>
      <c r="AC428" s="11"/>
      <c r="AD428" s="11"/>
      <c r="AE428" s="11"/>
      <c r="AF428" s="11"/>
      <c r="AG428" s="11"/>
      <c r="AH428" s="11"/>
      <c r="AI428" s="11"/>
      <c r="AJ428" s="11"/>
      <c r="AK428" s="11"/>
      <c r="AL428" s="57"/>
      <c r="AM428" s="80"/>
      <c r="AN428" s="80">
        <f t="shared" si="35"/>
        <v>9</v>
      </c>
      <c r="AO428" s="81">
        <f t="shared" si="34"/>
        <v>-10</v>
      </c>
      <c r="AP428" s="82">
        <f t="shared" si="36"/>
        <v>0</v>
      </c>
      <c r="AQ428" s="81">
        <f t="shared" si="37"/>
        <v>-10</v>
      </c>
      <c r="AR428" s="82">
        <f t="shared" si="38"/>
        <v>0.01</v>
      </c>
      <c r="AS428" s="15"/>
      <c r="AT428" s="15"/>
      <c r="AU428" s="16"/>
      <c r="AV428" s="17"/>
      <c r="AW428" s="16"/>
      <c r="AX428" s="15"/>
      <c r="AY428" s="19"/>
      <c r="AZ428" s="15"/>
      <c r="BA428" s="18"/>
      <c r="BB428" s="17"/>
      <c r="BC428" s="17"/>
      <c r="BD428" s="17"/>
      <c r="BE428" s="6"/>
    </row>
    <row r="429" spans="1:57" x14ac:dyDescent="0.25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00"/>
      <c r="AB429" s="100"/>
      <c r="AC429" s="11"/>
      <c r="AD429" s="11"/>
      <c r="AE429" s="11"/>
      <c r="AF429" s="11"/>
      <c r="AG429" s="11"/>
      <c r="AH429" s="11"/>
      <c r="AI429" s="11"/>
      <c r="AJ429" s="11"/>
      <c r="AK429" s="11"/>
      <c r="AL429" s="52"/>
      <c r="AM429" s="53"/>
      <c r="AN429" s="53">
        <f t="shared" si="35"/>
        <v>9</v>
      </c>
      <c r="AO429" s="77">
        <f t="shared" si="34"/>
        <v>-10</v>
      </c>
      <c r="AP429" s="54">
        <f t="shared" si="36"/>
        <v>0</v>
      </c>
      <c r="AQ429" s="77">
        <f t="shared" si="37"/>
        <v>-10</v>
      </c>
      <c r="AR429" s="54">
        <f t="shared" si="38"/>
        <v>0.01</v>
      </c>
      <c r="AS429" s="15"/>
      <c r="AT429" s="15"/>
      <c r="AU429" s="16"/>
      <c r="AV429" s="17"/>
      <c r="AW429" s="16"/>
      <c r="AX429" s="15"/>
      <c r="AY429" s="19"/>
      <c r="AZ429" s="15"/>
      <c r="BA429" s="18"/>
      <c r="BB429" s="17"/>
      <c r="BC429" s="17"/>
      <c r="BD429" s="17"/>
      <c r="BE429" s="6"/>
    </row>
    <row r="430" spans="1:57" x14ac:dyDescent="0.25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00"/>
      <c r="AB430" s="100"/>
      <c r="AC430" s="11"/>
      <c r="AD430" s="11"/>
      <c r="AE430" s="11"/>
      <c r="AF430" s="11"/>
      <c r="AG430" s="11"/>
      <c r="AH430" s="11"/>
      <c r="AI430" s="11"/>
      <c r="AJ430" s="11"/>
      <c r="AK430" s="11"/>
      <c r="AL430" s="57"/>
      <c r="AM430" s="80"/>
      <c r="AN430" s="80">
        <f t="shared" si="35"/>
        <v>9</v>
      </c>
      <c r="AO430" s="81">
        <f t="shared" si="34"/>
        <v>-10</v>
      </c>
      <c r="AP430" s="82">
        <f t="shared" si="36"/>
        <v>0</v>
      </c>
      <c r="AQ430" s="81">
        <f t="shared" si="37"/>
        <v>-10</v>
      </c>
      <c r="AR430" s="82">
        <f t="shared" si="38"/>
        <v>0.01</v>
      </c>
      <c r="AS430" s="15"/>
      <c r="AT430" s="15"/>
      <c r="AU430" s="16"/>
      <c r="AV430" s="17"/>
      <c r="AW430" s="16"/>
      <c r="AX430" s="15"/>
      <c r="AY430" s="19"/>
      <c r="AZ430" s="15"/>
      <c r="BA430" s="18"/>
      <c r="BB430" s="17"/>
      <c r="BC430" s="17"/>
      <c r="BD430" s="17"/>
      <c r="BE430" s="6"/>
    </row>
    <row r="431" spans="1:57" x14ac:dyDescent="0.25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00"/>
      <c r="AB431" s="100"/>
      <c r="AC431" s="11"/>
      <c r="AD431" s="11"/>
      <c r="AE431" s="11"/>
      <c r="AF431" s="11"/>
      <c r="AG431" s="11"/>
      <c r="AH431" s="11"/>
      <c r="AI431" s="11"/>
      <c r="AJ431" s="11"/>
      <c r="AK431" s="11"/>
      <c r="AL431" s="52"/>
      <c r="AM431" s="53"/>
      <c r="AN431" s="53">
        <f t="shared" si="35"/>
        <v>9</v>
      </c>
      <c r="AO431" s="77">
        <f t="shared" ref="AO431:AO494" si="39">IF(AO430+(AQ430/AN431)&lt;AQ430,AQ430,AO430+(AQ430/AN431))</f>
        <v>-10</v>
      </c>
      <c r="AP431" s="54">
        <f t="shared" si="36"/>
        <v>0</v>
      </c>
      <c r="AQ431" s="77">
        <f t="shared" si="37"/>
        <v>-10</v>
      </c>
      <c r="AR431" s="54">
        <f t="shared" si="38"/>
        <v>0.01</v>
      </c>
      <c r="AS431" s="15"/>
      <c r="AT431" s="15"/>
      <c r="AU431" s="16"/>
      <c r="AV431" s="17"/>
      <c r="AW431" s="16"/>
      <c r="AX431" s="15"/>
      <c r="AY431" s="19"/>
      <c r="AZ431" s="15"/>
      <c r="BA431" s="18"/>
      <c r="BB431" s="17"/>
      <c r="BC431" s="17"/>
      <c r="BD431" s="17"/>
      <c r="BE431" s="6"/>
    </row>
    <row r="432" spans="1:57" x14ac:dyDescent="0.25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00"/>
      <c r="AB432" s="100"/>
      <c r="AC432" s="11"/>
      <c r="AD432" s="11"/>
      <c r="AE432" s="11"/>
      <c r="AF432" s="11"/>
      <c r="AG432" s="11"/>
      <c r="AH432" s="11"/>
      <c r="AI432" s="11"/>
      <c r="AJ432" s="11"/>
      <c r="AK432" s="11"/>
      <c r="AL432" s="57"/>
      <c r="AM432" s="80"/>
      <c r="AN432" s="80">
        <f t="shared" si="35"/>
        <v>9</v>
      </c>
      <c r="AO432" s="81">
        <f t="shared" si="39"/>
        <v>-10</v>
      </c>
      <c r="AP432" s="82">
        <f t="shared" si="36"/>
        <v>0</v>
      </c>
      <c r="AQ432" s="81">
        <f t="shared" si="37"/>
        <v>-10</v>
      </c>
      <c r="AR432" s="82">
        <f t="shared" si="38"/>
        <v>0.01</v>
      </c>
      <c r="AS432" s="15"/>
      <c r="AT432" s="15"/>
      <c r="AU432" s="16"/>
      <c r="AV432" s="17"/>
      <c r="AW432" s="16"/>
      <c r="AX432" s="15"/>
      <c r="AY432" s="19"/>
      <c r="AZ432" s="15"/>
      <c r="BA432" s="18"/>
      <c r="BB432" s="17"/>
      <c r="BC432" s="17"/>
      <c r="BD432" s="17"/>
      <c r="BE432" s="6"/>
    </row>
    <row r="433" spans="1:57" x14ac:dyDescent="0.25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00"/>
      <c r="AB433" s="100"/>
      <c r="AC433" s="11"/>
      <c r="AD433" s="11"/>
      <c r="AE433" s="11"/>
      <c r="AF433" s="11"/>
      <c r="AG433" s="11"/>
      <c r="AH433" s="11"/>
      <c r="AI433" s="11"/>
      <c r="AJ433" s="11"/>
      <c r="AK433" s="11"/>
      <c r="AL433" s="52"/>
      <c r="AM433" s="53"/>
      <c r="AN433" s="53">
        <f t="shared" si="35"/>
        <v>9</v>
      </c>
      <c r="AO433" s="77">
        <f t="shared" si="39"/>
        <v>-10</v>
      </c>
      <c r="AP433" s="54">
        <f t="shared" si="36"/>
        <v>0</v>
      </c>
      <c r="AQ433" s="77">
        <f t="shared" si="37"/>
        <v>-10</v>
      </c>
      <c r="AR433" s="54">
        <f t="shared" si="38"/>
        <v>0.01</v>
      </c>
      <c r="AS433" s="15"/>
      <c r="AT433" s="15"/>
      <c r="AU433" s="16"/>
      <c r="AV433" s="17"/>
      <c r="AW433" s="16"/>
      <c r="AX433" s="15"/>
      <c r="AY433" s="19"/>
      <c r="AZ433" s="15"/>
      <c r="BA433" s="18"/>
      <c r="BB433" s="17"/>
      <c r="BC433" s="17"/>
      <c r="BD433" s="17"/>
      <c r="BE433" s="6"/>
    </row>
    <row r="434" spans="1:57" x14ac:dyDescent="0.25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00"/>
      <c r="AB434" s="100"/>
      <c r="AC434" s="11"/>
      <c r="AD434" s="11"/>
      <c r="AE434" s="11"/>
      <c r="AF434" s="11"/>
      <c r="AG434" s="11"/>
      <c r="AH434" s="11"/>
      <c r="AI434" s="11"/>
      <c r="AJ434" s="11"/>
      <c r="AK434" s="11"/>
      <c r="AL434" s="57"/>
      <c r="AM434" s="80"/>
      <c r="AN434" s="80">
        <f t="shared" si="35"/>
        <v>9</v>
      </c>
      <c r="AO434" s="81">
        <f t="shared" si="39"/>
        <v>-10</v>
      </c>
      <c r="AP434" s="82">
        <f t="shared" si="36"/>
        <v>0</v>
      </c>
      <c r="AQ434" s="81">
        <f t="shared" si="37"/>
        <v>-10</v>
      </c>
      <c r="AR434" s="82">
        <f t="shared" si="38"/>
        <v>0.01</v>
      </c>
      <c r="AS434" s="15"/>
      <c r="AT434" s="15"/>
      <c r="AU434" s="16"/>
      <c r="AV434" s="17"/>
      <c r="AW434" s="16"/>
      <c r="AX434" s="15"/>
      <c r="AY434" s="19"/>
      <c r="AZ434" s="15"/>
      <c r="BA434" s="18"/>
      <c r="BB434" s="17"/>
      <c r="BC434" s="17"/>
      <c r="BD434" s="17"/>
      <c r="BE434" s="6"/>
    </row>
    <row r="435" spans="1:57" x14ac:dyDescent="0.25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00"/>
      <c r="AB435" s="100"/>
      <c r="AC435" s="11"/>
      <c r="AD435" s="11"/>
      <c r="AE435" s="11"/>
      <c r="AF435" s="11"/>
      <c r="AG435" s="11"/>
      <c r="AH435" s="11"/>
      <c r="AI435" s="11"/>
      <c r="AJ435" s="11"/>
      <c r="AK435" s="11"/>
      <c r="AL435" s="52"/>
      <c r="AM435" s="53"/>
      <c r="AN435" s="53">
        <f t="shared" si="35"/>
        <v>9</v>
      </c>
      <c r="AO435" s="77">
        <f t="shared" si="39"/>
        <v>-10</v>
      </c>
      <c r="AP435" s="54">
        <f t="shared" si="36"/>
        <v>0</v>
      </c>
      <c r="AQ435" s="77">
        <f t="shared" si="37"/>
        <v>-10</v>
      </c>
      <c r="AR435" s="54">
        <f t="shared" si="38"/>
        <v>0.01</v>
      </c>
      <c r="AS435" s="15"/>
      <c r="AT435" s="15"/>
      <c r="AU435" s="16"/>
      <c r="AV435" s="17"/>
      <c r="AW435" s="16"/>
      <c r="AX435" s="15"/>
      <c r="AY435" s="19"/>
      <c r="AZ435" s="15"/>
      <c r="BA435" s="18"/>
      <c r="BB435" s="17"/>
      <c r="BC435" s="17"/>
      <c r="BD435" s="17"/>
      <c r="BE435" s="6"/>
    </row>
    <row r="436" spans="1:57" x14ac:dyDescent="0.25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00"/>
      <c r="AB436" s="100"/>
      <c r="AC436" s="11"/>
      <c r="AD436" s="11"/>
      <c r="AE436" s="11"/>
      <c r="AF436" s="11"/>
      <c r="AG436" s="11"/>
      <c r="AH436" s="11"/>
      <c r="AI436" s="11"/>
      <c r="AJ436" s="11"/>
      <c r="AK436" s="11"/>
      <c r="AL436" s="57"/>
      <c r="AM436" s="80"/>
      <c r="AN436" s="80">
        <f t="shared" si="35"/>
        <v>9</v>
      </c>
      <c r="AO436" s="81">
        <f t="shared" si="39"/>
        <v>-10</v>
      </c>
      <c r="AP436" s="82">
        <f t="shared" si="36"/>
        <v>0</v>
      </c>
      <c r="AQ436" s="81">
        <f t="shared" si="37"/>
        <v>-10</v>
      </c>
      <c r="AR436" s="82">
        <f t="shared" si="38"/>
        <v>0.01</v>
      </c>
      <c r="AS436" s="15"/>
      <c r="AT436" s="15"/>
      <c r="AU436" s="16"/>
      <c r="AV436" s="17"/>
      <c r="AW436" s="16"/>
      <c r="AX436" s="15"/>
      <c r="AY436" s="19"/>
      <c r="AZ436" s="15"/>
      <c r="BA436" s="18"/>
      <c r="BB436" s="17"/>
      <c r="BC436" s="17"/>
      <c r="BD436" s="17"/>
      <c r="BE436" s="6"/>
    </row>
    <row r="437" spans="1:57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00"/>
      <c r="AB437" s="100"/>
      <c r="AC437" s="11"/>
      <c r="AD437" s="11"/>
      <c r="AE437" s="11"/>
      <c r="AF437" s="11"/>
      <c r="AG437" s="11"/>
      <c r="AH437" s="11"/>
      <c r="AI437" s="11"/>
      <c r="AJ437" s="11"/>
      <c r="AK437" s="11"/>
      <c r="AL437" s="52"/>
      <c r="AM437" s="53"/>
      <c r="AN437" s="53">
        <f t="shared" si="35"/>
        <v>9</v>
      </c>
      <c r="AO437" s="77">
        <f t="shared" si="39"/>
        <v>-10</v>
      </c>
      <c r="AP437" s="54">
        <f t="shared" si="36"/>
        <v>0</v>
      </c>
      <c r="AQ437" s="77">
        <f t="shared" si="37"/>
        <v>-10</v>
      </c>
      <c r="AR437" s="54">
        <f t="shared" si="38"/>
        <v>0.01</v>
      </c>
      <c r="AS437" s="15"/>
      <c r="AT437" s="15"/>
      <c r="AU437" s="16"/>
      <c r="AV437" s="17"/>
      <c r="AW437" s="16"/>
      <c r="AX437" s="15"/>
      <c r="AY437" s="19"/>
      <c r="AZ437" s="15"/>
      <c r="BA437" s="18"/>
      <c r="BB437" s="17"/>
      <c r="BC437" s="17"/>
      <c r="BD437" s="17"/>
      <c r="BE437" s="6"/>
    </row>
    <row r="438" spans="1:57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00"/>
      <c r="AB438" s="100"/>
      <c r="AC438" s="11"/>
      <c r="AD438" s="11"/>
      <c r="AE438" s="11"/>
      <c r="AF438" s="11"/>
      <c r="AG438" s="11"/>
      <c r="AH438" s="11"/>
      <c r="AI438" s="11"/>
      <c r="AJ438" s="11"/>
      <c r="AK438" s="11"/>
      <c r="AL438" s="57"/>
      <c r="AM438" s="80"/>
      <c r="AN438" s="80">
        <f t="shared" si="35"/>
        <v>9</v>
      </c>
      <c r="AO438" s="81">
        <f t="shared" si="39"/>
        <v>-10</v>
      </c>
      <c r="AP438" s="82">
        <f t="shared" si="36"/>
        <v>0</v>
      </c>
      <c r="AQ438" s="81">
        <f t="shared" si="37"/>
        <v>-10</v>
      </c>
      <c r="AR438" s="82">
        <f t="shared" si="38"/>
        <v>0.01</v>
      </c>
      <c r="AS438" s="15"/>
      <c r="AT438" s="15"/>
      <c r="AU438" s="16"/>
      <c r="AV438" s="17"/>
      <c r="AW438" s="16"/>
      <c r="AX438" s="15"/>
      <c r="AY438" s="19"/>
      <c r="AZ438" s="15"/>
      <c r="BA438" s="18"/>
      <c r="BB438" s="17"/>
      <c r="BC438" s="17"/>
      <c r="BD438" s="17"/>
      <c r="BE438" s="6"/>
    </row>
    <row r="439" spans="1:57" x14ac:dyDescent="0.25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00"/>
      <c r="AB439" s="100"/>
      <c r="AC439" s="11"/>
      <c r="AD439" s="11"/>
      <c r="AE439" s="11"/>
      <c r="AF439" s="11"/>
      <c r="AG439" s="11"/>
      <c r="AH439" s="11"/>
      <c r="AI439" s="11"/>
      <c r="AJ439" s="11"/>
      <c r="AK439" s="11"/>
      <c r="AL439" s="52"/>
      <c r="AM439" s="53"/>
      <c r="AN439" s="53">
        <f t="shared" si="35"/>
        <v>9</v>
      </c>
      <c r="AO439" s="77">
        <f t="shared" si="39"/>
        <v>-10</v>
      </c>
      <c r="AP439" s="54">
        <f t="shared" si="36"/>
        <v>0</v>
      </c>
      <c r="AQ439" s="77">
        <f t="shared" si="37"/>
        <v>-10</v>
      </c>
      <c r="AR439" s="54">
        <f t="shared" si="38"/>
        <v>0.01</v>
      </c>
      <c r="AS439" s="15"/>
      <c r="AT439" s="15"/>
      <c r="AU439" s="16"/>
      <c r="AV439" s="17"/>
      <c r="AW439" s="16"/>
      <c r="AX439" s="15"/>
      <c r="AY439" s="19"/>
      <c r="AZ439" s="15"/>
      <c r="BA439" s="18"/>
      <c r="BB439" s="17"/>
      <c r="BC439" s="17"/>
      <c r="BD439" s="17"/>
      <c r="BE439" s="6"/>
    </row>
    <row r="440" spans="1:57" x14ac:dyDescent="0.25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00"/>
      <c r="AB440" s="100"/>
      <c r="AC440" s="11"/>
      <c r="AD440" s="11"/>
      <c r="AE440" s="11"/>
      <c r="AF440" s="11"/>
      <c r="AG440" s="11"/>
      <c r="AH440" s="11"/>
      <c r="AI440" s="11"/>
      <c r="AJ440" s="11"/>
      <c r="AK440" s="11"/>
      <c r="AL440" s="57"/>
      <c r="AM440" s="80"/>
      <c r="AN440" s="80">
        <f t="shared" si="35"/>
        <v>9</v>
      </c>
      <c r="AO440" s="81">
        <f t="shared" si="39"/>
        <v>-10</v>
      </c>
      <c r="AP440" s="82">
        <f t="shared" si="36"/>
        <v>0</v>
      </c>
      <c r="AQ440" s="81">
        <f t="shared" si="37"/>
        <v>-10</v>
      </c>
      <c r="AR440" s="82">
        <f t="shared" si="38"/>
        <v>0.01</v>
      </c>
      <c r="AS440" s="15"/>
      <c r="AT440" s="15"/>
      <c r="AU440" s="16"/>
      <c r="AV440" s="17"/>
      <c r="AW440" s="16"/>
      <c r="AX440" s="15"/>
      <c r="AY440" s="19"/>
      <c r="AZ440" s="15"/>
      <c r="BA440" s="18"/>
      <c r="BB440" s="17"/>
      <c r="BC440" s="17"/>
      <c r="BD440" s="17"/>
      <c r="BE440" s="6"/>
    </row>
    <row r="441" spans="1:57" x14ac:dyDescent="0.25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00"/>
      <c r="AB441" s="100"/>
      <c r="AC441" s="11"/>
      <c r="AD441" s="11"/>
      <c r="AE441" s="11"/>
      <c r="AF441" s="11"/>
      <c r="AG441" s="11"/>
      <c r="AH441" s="11"/>
      <c r="AI441" s="11"/>
      <c r="AJ441" s="11"/>
      <c r="AK441" s="11"/>
      <c r="AL441" s="52"/>
      <c r="AM441" s="53"/>
      <c r="AN441" s="53">
        <f t="shared" si="35"/>
        <v>9</v>
      </c>
      <c r="AO441" s="77">
        <f t="shared" si="39"/>
        <v>-10</v>
      </c>
      <c r="AP441" s="54">
        <f t="shared" si="36"/>
        <v>0</v>
      </c>
      <c r="AQ441" s="77">
        <f t="shared" si="37"/>
        <v>-10</v>
      </c>
      <c r="AR441" s="54">
        <f t="shared" si="38"/>
        <v>0.01</v>
      </c>
      <c r="AS441" s="15"/>
      <c r="AT441" s="15"/>
      <c r="AU441" s="16"/>
      <c r="AV441" s="17"/>
      <c r="AW441" s="16"/>
      <c r="AX441" s="15"/>
      <c r="AY441" s="19"/>
      <c r="AZ441" s="15"/>
      <c r="BA441" s="18"/>
      <c r="BB441" s="17"/>
      <c r="BC441" s="17"/>
      <c r="BD441" s="17"/>
      <c r="BE441" s="6"/>
    </row>
    <row r="442" spans="1:57" x14ac:dyDescent="0.25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00"/>
      <c r="AB442" s="100"/>
      <c r="AC442" s="11"/>
      <c r="AD442" s="11"/>
      <c r="AE442" s="11"/>
      <c r="AF442" s="11"/>
      <c r="AG442" s="11"/>
      <c r="AH442" s="11"/>
      <c r="AI442" s="11"/>
      <c r="AJ442" s="11"/>
      <c r="AK442" s="11"/>
      <c r="AL442" s="57"/>
      <c r="AM442" s="80"/>
      <c r="AN442" s="80">
        <f t="shared" si="35"/>
        <v>9</v>
      </c>
      <c r="AO442" s="81">
        <f t="shared" si="39"/>
        <v>-10</v>
      </c>
      <c r="AP442" s="82">
        <f t="shared" si="36"/>
        <v>0</v>
      </c>
      <c r="AQ442" s="81">
        <f t="shared" si="37"/>
        <v>-10</v>
      </c>
      <c r="AR442" s="82">
        <f t="shared" si="38"/>
        <v>0.01</v>
      </c>
      <c r="AS442" s="15"/>
      <c r="AT442" s="15"/>
      <c r="AU442" s="16"/>
      <c r="AV442" s="17"/>
      <c r="AW442" s="16"/>
      <c r="AX442" s="15"/>
      <c r="AY442" s="19"/>
      <c r="AZ442" s="15"/>
      <c r="BA442" s="18"/>
      <c r="BB442" s="17"/>
      <c r="BC442" s="17"/>
      <c r="BD442" s="17"/>
      <c r="BE442" s="6"/>
    </row>
    <row r="443" spans="1:57" x14ac:dyDescent="0.25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00"/>
      <c r="AB443" s="100"/>
      <c r="AC443" s="11"/>
      <c r="AD443" s="11"/>
      <c r="AE443" s="11"/>
      <c r="AF443" s="11"/>
      <c r="AG443" s="11"/>
      <c r="AH443" s="11"/>
      <c r="AI443" s="11"/>
      <c r="AJ443" s="11"/>
      <c r="AK443" s="11"/>
      <c r="AL443" s="52"/>
      <c r="AM443" s="53"/>
      <c r="AN443" s="53">
        <f t="shared" si="35"/>
        <v>9</v>
      </c>
      <c r="AO443" s="77">
        <f t="shared" si="39"/>
        <v>-10</v>
      </c>
      <c r="AP443" s="54">
        <f t="shared" si="36"/>
        <v>0</v>
      </c>
      <c r="AQ443" s="77">
        <f t="shared" si="37"/>
        <v>-10</v>
      </c>
      <c r="AR443" s="54">
        <f t="shared" si="38"/>
        <v>0.01</v>
      </c>
      <c r="AS443" s="15"/>
      <c r="AT443" s="15"/>
      <c r="AU443" s="16"/>
      <c r="AV443" s="17"/>
      <c r="AW443" s="16"/>
      <c r="AX443" s="15"/>
      <c r="AY443" s="19"/>
      <c r="AZ443" s="15"/>
      <c r="BA443" s="18"/>
      <c r="BB443" s="17"/>
      <c r="BC443" s="17"/>
      <c r="BD443" s="17"/>
      <c r="BE443" s="6"/>
    </row>
    <row r="444" spans="1:57" x14ac:dyDescent="0.25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00"/>
      <c r="AB444" s="100"/>
      <c r="AC444" s="11"/>
      <c r="AD444" s="11"/>
      <c r="AE444" s="11"/>
      <c r="AF444" s="11"/>
      <c r="AG444" s="11"/>
      <c r="AH444" s="11"/>
      <c r="AI444" s="11"/>
      <c r="AJ444" s="11"/>
      <c r="AK444" s="11"/>
      <c r="AL444" s="57"/>
      <c r="AM444" s="80"/>
      <c r="AN444" s="80">
        <f t="shared" si="35"/>
        <v>9</v>
      </c>
      <c r="AO444" s="81">
        <f t="shared" si="39"/>
        <v>-10</v>
      </c>
      <c r="AP444" s="82">
        <f t="shared" si="36"/>
        <v>0</v>
      </c>
      <c r="AQ444" s="81">
        <f t="shared" si="37"/>
        <v>-10</v>
      </c>
      <c r="AR444" s="82">
        <f t="shared" si="38"/>
        <v>0.01</v>
      </c>
      <c r="AS444" s="15"/>
      <c r="AT444" s="15"/>
      <c r="AU444" s="16"/>
      <c r="AV444" s="17"/>
      <c r="AW444" s="16"/>
      <c r="AX444" s="15"/>
      <c r="AY444" s="19"/>
      <c r="AZ444" s="15"/>
      <c r="BA444" s="18"/>
      <c r="BB444" s="17"/>
      <c r="BC444" s="17"/>
      <c r="BD444" s="17"/>
      <c r="BE444" s="6"/>
    </row>
    <row r="445" spans="1:57" x14ac:dyDescent="0.25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00"/>
      <c r="AB445" s="100"/>
      <c r="AC445" s="11"/>
      <c r="AD445" s="11"/>
      <c r="AE445" s="11"/>
      <c r="AF445" s="11"/>
      <c r="AG445" s="11"/>
      <c r="AH445" s="11"/>
      <c r="AI445" s="11"/>
      <c r="AJ445" s="11"/>
      <c r="AK445" s="11"/>
      <c r="AL445" s="52"/>
      <c r="AM445" s="53"/>
      <c r="AN445" s="53">
        <f t="shared" si="35"/>
        <v>9</v>
      </c>
      <c r="AO445" s="77">
        <f t="shared" si="39"/>
        <v>-10</v>
      </c>
      <c r="AP445" s="54">
        <f t="shared" si="36"/>
        <v>0</v>
      </c>
      <c r="AQ445" s="77">
        <f t="shared" si="37"/>
        <v>-10</v>
      </c>
      <c r="AR445" s="54">
        <f t="shared" si="38"/>
        <v>0.01</v>
      </c>
      <c r="AS445" s="15"/>
      <c r="AT445" s="15"/>
      <c r="AU445" s="16"/>
      <c r="AV445" s="17"/>
      <c r="AW445" s="16"/>
      <c r="AX445" s="15"/>
      <c r="AY445" s="19"/>
      <c r="AZ445" s="15"/>
      <c r="BA445" s="18"/>
      <c r="BB445" s="17"/>
      <c r="BC445" s="17"/>
      <c r="BD445" s="17"/>
      <c r="BE445" s="6"/>
    </row>
    <row r="446" spans="1:57" x14ac:dyDescent="0.25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00"/>
      <c r="AB446" s="100"/>
      <c r="AC446" s="11"/>
      <c r="AD446" s="11"/>
      <c r="AE446" s="11"/>
      <c r="AF446" s="11"/>
      <c r="AG446" s="11"/>
      <c r="AH446" s="11"/>
      <c r="AI446" s="11"/>
      <c r="AJ446" s="11"/>
      <c r="AK446" s="11"/>
      <c r="AL446" s="57"/>
      <c r="AM446" s="80"/>
      <c r="AN446" s="80">
        <f t="shared" si="35"/>
        <v>9</v>
      </c>
      <c r="AO446" s="81">
        <f t="shared" si="39"/>
        <v>-10</v>
      </c>
      <c r="AP446" s="82">
        <f t="shared" si="36"/>
        <v>0</v>
      </c>
      <c r="AQ446" s="81">
        <f t="shared" si="37"/>
        <v>-10</v>
      </c>
      <c r="AR446" s="82">
        <f t="shared" si="38"/>
        <v>0.01</v>
      </c>
      <c r="AS446" s="15"/>
      <c r="AT446" s="15"/>
      <c r="AU446" s="16"/>
      <c r="AV446" s="17"/>
      <c r="AW446" s="16"/>
      <c r="AX446" s="15"/>
      <c r="AY446" s="19"/>
      <c r="AZ446" s="15"/>
      <c r="BA446" s="18"/>
      <c r="BB446" s="17"/>
      <c r="BC446" s="17"/>
      <c r="BD446" s="17"/>
      <c r="BE446" s="6"/>
    </row>
    <row r="447" spans="1:57" x14ac:dyDescent="0.25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00"/>
      <c r="AB447" s="100"/>
      <c r="AC447" s="11"/>
      <c r="AD447" s="11"/>
      <c r="AE447" s="11"/>
      <c r="AF447" s="11"/>
      <c r="AG447" s="11"/>
      <c r="AH447" s="11"/>
      <c r="AI447" s="11"/>
      <c r="AJ447" s="11"/>
      <c r="AK447" s="11"/>
      <c r="AL447" s="52"/>
      <c r="AM447" s="53"/>
      <c r="AN447" s="53">
        <f t="shared" si="35"/>
        <v>9</v>
      </c>
      <c r="AO447" s="77">
        <f t="shared" si="39"/>
        <v>-10</v>
      </c>
      <c r="AP447" s="54">
        <f t="shared" si="36"/>
        <v>0</v>
      </c>
      <c r="AQ447" s="77">
        <f t="shared" si="37"/>
        <v>-10</v>
      </c>
      <c r="AR447" s="54">
        <f t="shared" si="38"/>
        <v>0.01</v>
      </c>
      <c r="AS447" s="15"/>
      <c r="AT447" s="15"/>
      <c r="AU447" s="16"/>
      <c r="AV447" s="17"/>
      <c r="AW447" s="16"/>
      <c r="AX447" s="15"/>
      <c r="AY447" s="19"/>
      <c r="AZ447" s="15"/>
      <c r="BA447" s="18"/>
      <c r="BB447" s="17"/>
      <c r="BC447" s="17"/>
      <c r="BD447" s="17"/>
      <c r="BE447" s="6"/>
    </row>
    <row r="448" spans="1:57" x14ac:dyDescent="0.25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00"/>
      <c r="AB448" s="100"/>
      <c r="AC448" s="11"/>
      <c r="AD448" s="11"/>
      <c r="AE448" s="11"/>
      <c r="AF448" s="11"/>
      <c r="AG448" s="11"/>
      <c r="AH448" s="11"/>
      <c r="AI448" s="11"/>
      <c r="AJ448" s="11"/>
      <c r="AK448" s="11"/>
      <c r="AL448" s="57"/>
      <c r="AM448" s="80"/>
      <c r="AN448" s="80">
        <f t="shared" si="35"/>
        <v>9</v>
      </c>
      <c r="AO448" s="81">
        <f t="shared" si="39"/>
        <v>-10</v>
      </c>
      <c r="AP448" s="82">
        <f t="shared" si="36"/>
        <v>0</v>
      </c>
      <c r="AQ448" s="81">
        <f t="shared" si="37"/>
        <v>-10</v>
      </c>
      <c r="AR448" s="82">
        <f t="shared" si="38"/>
        <v>0.01</v>
      </c>
      <c r="AS448" s="15"/>
      <c r="AT448" s="15"/>
      <c r="AU448" s="16"/>
      <c r="AV448" s="17"/>
      <c r="AW448" s="16"/>
      <c r="AX448" s="15"/>
      <c r="AY448" s="19"/>
      <c r="AZ448" s="15"/>
      <c r="BA448" s="18"/>
      <c r="BB448" s="17"/>
      <c r="BC448" s="17"/>
      <c r="BD448" s="17"/>
      <c r="BE448" s="6"/>
    </row>
    <row r="449" spans="1:57" x14ac:dyDescent="0.25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00"/>
      <c r="AB449" s="100"/>
      <c r="AC449" s="11"/>
      <c r="AD449" s="11"/>
      <c r="AE449" s="11"/>
      <c r="AF449" s="11"/>
      <c r="AG449" s="11"/>
      <c r="AH449" s="11"/>
      <c r="AI449" s="11"/>
      <c r="AJ449" s="11"/>
      <c r="AK449" s="11"/>
      <c r="AL449" s="52"/>
      <c r="AM449" s="53"/>
      <c r="AN449" s="53">
        <f t="shared" si="35"/>
        <v>9</v>
      </c>
      <c r="AO449" s="77">
        <f t="shared" si="39"/>
        <v>-10</v>
      </c>
      <c r="AP449" s="54">
        <f t="shared" si="36"/>
        <v>0</v>
      </c>
      <c r="AQ449" s="77">
        <f t="shared" si="37"/>
        <v>-10</v>
      </c>
      <c r="AR449" s="54">
        <f t="shared" si="38"/>
        <v>0.01</v>
      </c>
      <c r="AS449" s="15"/>
      <c r="AT449" s="15"/>
      <c r="AU449" s="16"/>
      <c r="AV449" s="17"/>
      <c r="AW449" s="16"/>
      <c r="AX449" s="15"/>
      <c r="AY449" s="19"/>
      <c r="AZ449" s="15"/>
      <c r="BA449" s="18"/>
      <c r="BB449" s="17"/>
      <c r="BC449" s="17"/>
      <c r="BD449" s="17"/>
      <c r="BE449" s="6"/>
    </row>
    <row r="450" spans="1:57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00"/>
      <c r="AB450" s="100"/>
      <c r="AC450" s="11"/>
      <c r="AD450" s="11"/>
      <c r="AE450" s="11"/>
      <c r="AF450" s="11"/>
      <c r="AG450" s="11"/>
      <c r="AH450" s="11"/>
      <c r="AI450" s="11"/>
      <c r="AJ450" s="11"/>
      <c r="AK450" s="11"/>
      <c r="AL450" s="57"/>
      <c r="AM450" s="80"/>
      <c r="AN450" s="80">
        <f t="shared" si="35"/>
        <v>9</v>
      </c>
      <c r="AO450" s="81">
        <f t="shared" si="39"/>
        <v>-10</v>
      </c>
      <c r="AP450" s="82">
        <f t="shared" si="36"/>
        <v>0</v>
      </c>
      <c r="AQ450" s="81">
        <f t="shared" si="37"/>
        <v>-10</v>
      </c>
      <c r="AR450" s="82">
        <f t="shared" si="38"/>
        <v>0.01</v>
      </c>
      <c r="AS450" s="15"/>
      <c r="AT450" s="15"/>
      <c r="AU450" s="16"/>
      <c r="AV450" s="17"/>
      <c r="AW450" s="16"/>
      <c r="AX450" s="15"/>
      <c r="AY450" s="19"/>
      <c r="AZ450" s="15"/>
      <c r="BA450" s="18"/>
      <c r="BB450" s="17"/>
      <c r="BC450" s="17"/>
      <c r="BD450" s="17"/>
      <c r="BE450" s="6"/>
    </row>
    <row r="451" spans="1:57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00"/>
      <c r="AB451" s="100"/>
      <c r="AC451" s="11"/>
      <c r="AD451" s="11"/>
      <c r="AE451" s="11"/>
      <c r="AF451" s="11"/>
      <c r="AG451" s="11"/>
      <c r="AH451" s="11"/>
      <c r="AI451" s="11"/>
      <c r="AJ451" s="11"/>
      <c r="AK451" s="11"/>
      <c r="AL451" s="52"/>
      <c r="AM451" s="53"/>
      <c r="AN451" s="53">
        <f t="shared" ref="AN451:AN500" si="40">AN450</f>
        <v>9</v>
      </c>
      <c r="AO451" s="77">
        <f t="shared" si="39"/>
        <v>-10</v>
      </c>
      <c r="AP451" s="54">
        <f t="shared" si="36"/>
        <v>0</v>
      </c>
      <c r="AQ451" s="77">
        <f t="shared" si="37"/>
        <v>-10</v>
      </c>
      <c r="AR451" s="54">
        <f t="shared" si="38"/>
        <v>0.01</v>
      </c>
      <c r="AS451" s="15"/>
      <c r="AT451" s="15"/>
      <c r="AU451" s="16"/>
      <c r="AV451" s="17"/>
      <c r="AW451" s="16"/>
      <c r="AX451" s="15"/>
      <c r="AY451" s="19"/>
      <c r="AZ451" s="15"/>
      <c r="BA451" s="18"/>
      <c r="BB451" s="17"/>
      <c r="BC451" s="17"/>
      <c r="BD451" s="17"/>
      <c r="BE451" s="6"/>
    </row>
    <row r="452" spans="1:57" x14ac:dyDescent="0.25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00"/>
      <c r="AB452" s="100"/>
      <c r="AC452" s="11"/>
      <c r="AD452" s="11"/>
      <c r="AE452" s="11"/>
      <c r="AF452" s="11"/>
      <c r="AG452" s="11"/>
      <c r="AH452" s="11"/>
      <c r="AI452" s="11"/>
      <c r="AJ452" s="11"/>
      <c r="AK452" s="11"/>
      <c r="AL452" s="57"/>
      <c r="AM452" s="80"/>
      <c r="AN452" s="80">
        <f t="shared" si="40"/>
        <v>9</v>
      </c>
      <c r="AO452" s="81">
        <f t="shared" si="39"/>
        <v>-10</v>
      </c>
      <c r="AP452" s="82">
        <f t="shared" si="36"/>
        <v>0</v>
      </c>
      <c r="AQ452" s="81">
        <f t="shared" si="37"/>
        <v>-10</v>
      </c>
      <c r="AR452" s="82">
        <f t="shared" si="38"/>
        <v>0.01</v>
      </c>
      <c r="AS452" s="15"/>
      <c r="AT452" s="15"/>
      <c r="AU452" s="16"/>
      <c r="AV452" s="17"/>
      <c r="AW452" s="16"/>
      <c r="AX452" s="15"/>
      <c r="AY452" s="19"/>
      <c r="AZ452" s="15"/>
      <c r="BA452" s="18"/>
      <c r="BB452" s="17"/>
      <c r="BC452" s="17"/>
      <c r="BD452" s="17"/>
      <c r="BE452" s="6"/>
    </row>
    <row r="453" spans="1:57" x14ac:dyDescent="0.25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00"/>
      <c r="AB453" s="100"/>
      <c r="AC453" s="11"/>
      <c r="AD453" s="11"/>
      <c r="AE453" s="11"/>
      <c r="AF453" s="11"/>
      <c r="AG453" s="11"/>
      <c r="AH453" s="11"/>
      <c r="AI453" s="11"/>
      <c r="AJ453" s="11"/>
      <c r="AK453" s="11"/>
      <c r="AL453" s="52"/>
      <c r="AM453" s="53"/>
      <c r="AN453" s="53">
        <f t="shared" si="40"/>
        <v>9</v>
      </c>
      <c r="AO453" s="77">
        <f t="shared" si="39"/>
        <v>-10</v>
      </c>
      <c r="AP453" s="54">
        <f t="shared" si="36"/>
        <v>0</v>
      </c>
      <c r="AQ453" s="77">
        <f t="shared" si="37"/>
        <v>-10</v>
      </c>
      <c r="AR453" s="54">
        <f t="shared" si="38"/>
        <v>0.01</v>
      </c>
      <c r="AS453" s="15"/>
      <c r="AT453" s="15"/>
      <c r="AU453" s="16"/>
      <c r="AV453" s="17"/>
      <c r="AW453" s="16"/>
      <c r="AX453" s="15"/>
      <c r="AY453" s="19"/>
      <c r="AZ453" s="15"/>
      <c r="BA453" s="18"/>
      <c r="BB453" s="17"/>
      <c r="BC453" s="17"/>
      <c r="BD453" s="17"/>
      <c r="BE453" s="6"/>
    </row>
    <row r="454" spans="1:57" x14ac:dyDescent="0.25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00"/>
      <c r="AB454" s="100"/>
      <c r="AC454" s="11"/>
      <c r="AD454" s="11"/>
      <c r="AE454" s="11"/>
      <c r="AF454" s="11"/>
      <c r="AG454" s="11"/>
      <c r="AH454" s="11"/>
      <c r="AI454" s="11"/>
      <c r="AJ454" s="11"/>
      <c r="AK454" s="11"/>
      <c r="AL454" s="57"/>
      <c r="AM454" s="80"/>
      <c r="AN454" s="80">
        <f t="shared" si="40"/>
        <v>9</v>
      </c>
      <c r="AO454" s="81">
        <f t="shared" si="39"/>
        <v>-10</v>
      </c>
      <c r="AP454" s="82">
        <f t="shared" si="36"/>
        <v>0</v>
      </c>
      <c r="AQ454" s="81">
        <f t="shared" si="37"/>
        <v>-10</v>
      </c>
      <c r="AR454" s="82">
        <f t="shared" si="38"/>
        <v>0.01</v>
      </c>
      <c r="AS454" s="15"/>
      <c r="AT454" s="15"/>
      <c r="AU454" s="16"/>
      <c r="AV454" s="17"/>
      <c r="AW454" s="16"/>
      <c r="AX454" s="15"/>
      <c r="AY454" s="19"/>
      <c r="AZ454" s="15"/>
      <c r="BA454" s="18"/>
      <c r="BB454" s="17"/>
      <c r="BC454" s="17"/>
      <c r="BD454" s="17"/>
      <c r="BE454" s="6"/>
    </row>
    <row r="455" spans="1:57" x14ac:dyDescent="0.25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00"/>
      <c r="AB455" s="100"/>
      <c r="AC455" s="11"/>
      <c r="AD455" s="11"/>
      <c r="AE455" s="11"/>
      <c r="AF455" s="11"/>
      <c r="AG455" s="11"/>
      <c r="AH455" s="11"/>
      <c r="AI455" s="11"/>
      <c r="AJ455" s="11"/>
      <c r="AK455" s="11"/>
      <c r="AL455" s="52"/>
      <c r="AM455" s="53"/>
      <c r="AN455" s="53">
        <f t="shared" si="40"/>
        <v>9</v>
      </c>
      <c r="AO455" s="77">
        <f t="shared" si="39"/>
        <v>-10</v>
      </c>
      <c r="AP455" s="54">
        <f t="shared" si="36"/>
        <v>0</v>
      </c>
      <c r="AQ455" s="77">
        <f t="shared" si="37"/>
        <v>-10</v>
      </c>
      <c r="AR455" s="54">
        <f t="shared" si="38"/>
        <v>0.01</v>
      </c>
      <c r="AS455" s="15"/>
      <c r="AT455" s="15"/>
      <c r="AU455" s="16"/>
      <c r="AV455" s="17"/>
      <c r="AW455" s="16"/>
      <c r="AX455" s="15"/>
      <c r="AY455" s="19"/>
      <c r="AZ455" s="15"/>
      <c r="BA455" s="18"/>
      <c r="BB455" s="17"/>
      <c r="BC455" s="17"/>
      <c r="BD455" s="17"/>
      <c r="BE455" s="6"/>
    </row>
    <row r="456" spans="1:57" x14ac:dyDescent="0.25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00"/>
      <c r="AB456" s="100"/>
      <c r="AC456" s="11"/>
      <c r="AD456" s="11"/>
      <c r="AE456" s="11"/>
      <c r="AF456" s="11"/>
      <c r="AG456" s="11"/>
      <c r="AH456" s="11"/>
      <c r="AI456" s="11"/>
      <c r="AJ456" s="11"/>
      <c r="AK456" s="11"/>
      <c r="AL456" s="57"/>
      <c r="AM456" s="80"/>
      <c r="AN456" s="80">
        <f t="shared" si="40"/>
        <v>9</v>
      </c>
      <c r="AO456" s="81">
        <f t="shared" si="39"/>
        <v>-10</v>
      </c>
      <c r="AP456" s="82">
        <f t="shared" si="36"/>
        <v>0</v>
      </c>
      <c r="AQ456" s="81">
        <f t="shared" si="37"/>
        <v>-10</v>
      </c>
      <c r="AR456" s="82">
        <f t="shared" si="38"/>
        <v>0.01</v>
      </c>
      <c r="AS456" s="15"/>
      <c r="AT456" s="15"/>
      <c r="AU456" s="16"/>
      <c r="AV456" s="17"/>
      <c r="AW456" s="16"/>
      <c r="AX456" s="15"/>
      <c r="AY456" s="19"/>
      <c r="AZ456" s="15"/>
      <c r="BA456" s="18"/>
      <c r="BB456" s="17"/>
      <c r="BC456" s="17"/>
      <c r="BD456" s="17"/>
      <c r="BE456" s="6"/>
    </row>
    <row r="457" spans="1:57" x14ac:dyDescent="0.25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00"/>
      <c r="AB457" s="100"/>
      <c r="AC457" s="11"/>
      <c r="AD457" s="11"/>
      <c r="AE457" s="11"/>
      <c r="AF457" s="11"/>
      <c r="AG457" s="11"/>
      <c r="AH457" s="11"/>
      <c r="AI457" s="11"/>
      <c r="AJ457" s="11"/>
      <c r="AK457" s="11"/>
      <c r="AL457" s="52"/>
      <c r="AM457" s="53"/>
      <c r="AN457" s="53">
        <f t="shared" si="40"/>
        <v>9</v>
      </c>
      <c r="AO457" s="77">
        <f t="shared" si="39"/>
        <v>-10</v>
      </c>
      <c r="AP457" s="54">
        <f t="shared" si="36"/>
        <v>0</v>
      </c>
      <c r="AQ457" s="77">
        <f t="shared" si="37"/>
        <v>-10</v>
      </c>
      <c r="AR457" s="54">
        <f t="shared" si="38"/>
        <v>0.01</v>
      </c>
      <c r="AS457" s="15"/>
      <c r="AT457" s="15"/>
      <c r="AU457" s="16"/>
      <c r="AV457" s="17"/>
      <c r="AW457" s="16"/>
      <c r="AX457" s="15"/>
      <c r="AY457" s="19"/>
      <c r="AZ457" s="15"/>
      <c r="BA457" s="18"/>
      <c r="BB457" s="17"/>
      <c r="BC457" s="17"/>
      <c r="BD457" s="17"/>
      <c r="BE457" s="6"/>
    </row>
    <row r="458" spans="1:57" x14ac:dyDescent="0.25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00"/>
      <c r="AB458" s="100"/>
      <c r="AC458" s="11"/>
      <c r="AD458" s="11"/>
      <c r="AE458" s="11"/>
      <c r="AF458" s="11"/>
      <c r="AG458" s="11"/>
      <c r="AH458" s="11"/>
      <c r="AI458" s="11"/>
      <c r="AJ458" s="11"/>
      <c r="AK458" s="11"/>
      <c r="AL458" s="57"/>
      <c r="AM458" s="80"/>
      <c r="AN458" s="80">
        <f t="shared" si="40"/>
        <v>9</v>
      </c>
      <c r="AO458" s="81">
        <f t="shared" si="39"/>
        <v>-10</v>
      </c>
      <c r="AP458" s="82">
        <f t="shared" ref="AP458:AP500" si="41">AR458*(1-(AO458/AQ458))^2</f>
        <v>0</v>
      </c>
      <c r="AQ458" s="81">
        <f t="shared" ref="AQ458:AQ500" si="42">AQ457</f>
        <v>-10</v>
      </c>
      <c r="AR458" s="82">
        <f t="shared" ref="AR458:AR500" si="43">AR457</f>
        <v>0.01</v>
      </c>
      <c r="AS458" s="15"/>
      <c r="AT458" s="15"/>
      <c r="AU458" s="16"/>
      <c r="AV458" s="17"/>
      <c r="AW458" s="16"/>
      <c r="AX458" s="15"/>
      <c r="AY458" s="19"/>
      <c r="AZ458" s="15"/>
      <c r="BA458" s="18"/>
      <c r="BB458" s="17"/>
      <c r="BC458" s="17"/>
      <c r="BD458" s="17"/>
      <c r="BE458" s="6"/>
    </row>
    <row r="459" spans="1:57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00"/>
      <c r="AB459" s="100"/>
      <c r="AC459" s="11"/>
      <c r="AD459" s="11"/>
      <c r="AE459" s="11"/>
      <c r="AF459" s="11"/>
      <c r="AG459" s="11"/>
      <c r="AH459" s="11"/>
      <c r="AI459" s="11"/>
      <c r="AJ459" s="11"/>
      <c r="AK459" s="11"/>
      <c r="AL459" s="52"/>
      <c r="AM459" s="53"/>
      <c r="AN459" s="53">
        <f t="shared" si="40"/>
        <v>9</v>
      </c>
      <c r="AO459" s="77">
        <f t="shared" si="39"/>
        <v>-10</v>
      </c>
      <c r="AP459" s="54">
        <f t="shared" si="41"/>
        <v>0</v>
      </c>
      <c r="AQ459" s="77">
        <f t="shared" si="42"/>
        <v>-10</v>
      </c>
      <c r="AR459" s="54">
        <f t="shared" si="43"/>
        <v>0.01</v>
      </c>
      <c r="AS459" s="15"/>
      <c r="AT459" s="15"/>
      <c r="AU459" s="16"/>
      <c r="AV459" s="17"/>
      <c r="AW459" s="16"/>
      <c r="AX459" s="15"/>
      <c r="AY459" s="19"/>
      <c r="AZ459" s="15"/>
      <c r="BA459" s="18"/>
      <c r="BB459" s="17"/>
      <c r="BC459" s="17"/>
      <c r="BD459" s="17"/>
      <c r="BE459" s="6"/>
    </row>
    <row r="460" spans="1:57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00"/>
      <c r="AB460" s="100"/>
      <c r="AC460" s="11"/>
      <c r="AD460" s="11"/>
      <c r="AE460" s="11"/>
      <c r="AF460" s="11"/>
      <c r="AG460" s="11"/>
      <c r="AH460" s="11"/>
      <c r="AI460" s="11"/>
      <c r="AJ460" s="11"/>
      <c r="AK460" s="11"/>
      <c r="AL460" s="57"/>
      <c r="AM460" s="80"/>
      <c r="AN460" s="80">
        <f t="shared" si="40"/>
        <v>9</v>
      </c>
      <c r="AO460" s="81">
        <f t="shared" si="39"/>
        <v>-10</v>
      </c>
      <c r="AP460" s="82">
        <f t="shared" si="41"/>
        <v>0</v>
      </c>
      <c r="AQ460" s="81">
        <f t="shared" si="42"/>
        <v>-10</v>
      </c>
      <c r="AR460" s="82">
        <f t="shared" si="43"/>
        <v>0.01</v>
      </c>
      <c r="AS460" s="15"/>
      <c r="AT460" s="15"/>
      <c r="AU460" s="16"/>
      <c r="AV460" s="17"/>
      <c r="AW460" s="16"/>
      <c r="AX460" s="15"/>
      <c r="AY460" s="19"/>
      <c r="AZ460" s="15"/>
      <c r="BA460" s="18"/>
      <c r="BB460" s="17"/>
      <c r="BC460" s="17"/>
      <c r="BD460" s="17"/>
      <c r="BE460" s="6"/>
    </row>
    <row r="461" spans="1:57" x14ac:dyDescent="0.25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00"/>
      <c r="AB461" s="100"/>
      <c r="AC461" s="11"/>
      <c r="AD461" s="11"/>
      <c r="AE461" s="11"/>
      <c r="AF461" s="11"/>
      <c r="AG461" s="11"/>
      <c r="AH461" s="11"/>
      <c r="AI461" s="11"/>
      <c r="AJ461" s="11"/>
      <c r="AK461" s="11"/>
      <c r="AL461" s="52"/>
      <c r="AM461" s="53"/>
      <c r="AN461" s="53">
        <f t="shared" si="40"/>
        <v>9</v>
      </c>
      <c r="AO461" s="77">
        <f t="shared" si="39"/>
        <v>-10</v>
      </c>
      <c r="AP461" s="54">
        <f t="shared" si="41"/>
        <v>0</v>
      </c>
      <c r="AQ461" s="77">
        <f t="shared" si="42"/>
        <v>-10</v>
      </c>
      <c r="AR461" s="54">
        <f t="shared" si="43"/>
        <v>0.01</v>
      </c>
      <c r="AS461" s="15"/>
      <c r="AT461" s="15"/>
      <c r="AU461" s="16"/>
      <c r="AV461" s="17"/>
      <c r="AW461" s="16"/>
      <c r="AX461" s="15"/>
      <c r="AY461" s="19"/>
      <c r="AZ461" s="15"/>
      <c r="BA461" s="18"/>
      <c r="BB461" s="17"/>
      <c r="BC461" s="17"/>
      <c r="BD461" s="17"/>
      <c r="BE461" s="6"/>
    </row>
    <row r="462" spans="1:57" x14ac:dyDescent="0.25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00"/>
      <c r="AB462" s="100"/>
      <c r="AC462" s="11"/>
      <c r="AD462" s="11"/>
      <c r="AE462" s="11"/>
      <c r="AF462" s="11"/>
      <c r="AG462" s="11"/>
      <c r="AH462" s="11"/>
      <c r="AI462" s="11"/>
      <c r="AJ462" s="11"/>
      <c r="AK462" s="11"/>
      <c r="AL462" s="57"/>
      <c r="AM462" s="80"/>
      <c r="AN462" s="80">
        <f t="shared" si="40"/>
        <v>9</v>
      </c>
      <c r="AO462" s="81">
        <f t="shared" si="39"/>
        <v>-10</v>
      </c>
      <c r="AP462" s="82">
        <f t="shared" si="41"/>
        <v>0</v>
      </c>
      <c r="AQ462" s="81">
        <f t="shared" si="42"/>
        <v>-10</v>
      </c>
      <c r="AR462" s="82">
        <f t="shared" si="43"/>
        <v>0.01</v>
      </c>
      <c r="AS462" s="15"/>
      <c r="AT462" s="15"/>
      <c r="AU462" s="16"/>
      <c r="AV462" s="17"/>
      <c r="AW462" s="16"/>
      <c r="AX462" s="15"/>
      <c r="AY462" s="19"/>
      <c r="AZ462" s="15"/>
      <c r="BA462" s="18"/>
      <c r="BB462" s="17"/>
      <c r="BC462" s="17"/>
      <c r="BD462" s="17"/>
      <c r="BE462" s="6"/>
    </row>
    <row r="463" spans="1:57" x14ac:dyDescent="0.25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00"/>
      <c r="AB463" s="100"/>
      <c r="AC463" s="11"/>
      <c r="AD463" s="11"/>
      <c r="AE463" s="11"/>
      <c r="AF463" s="11"/>
      <c r="AG463" s="11"/>
      <c r="AH463" s="11"/>
      <c r="AI463" s="11"/>
      <c r="AJ463" s="11"/>
      <c r="AK463" s="11"/>
      <c r="AL463" s="52"/>
      <c r="AM463" s="53"/>
      <c r="AN463" s="53">
        <f t="shared" si="40"/>
        <v>9</v>
      </c>
      <c r="AO463" s="77">
        <f t="shared" si="39"/>
        <v>-10</v>
      </c>
      <c r="AP463" s="54">
        <f t="shared" si="41"/>
        <v>0</v>
      </c>
      <c r="AQ463" s="77">
        <f t="shared" si="42"/>
        <v>-10</v>
      </c>
      <c r="AR463" s="54">
        <f t="shared" si="43"/>
        <v>0.01</v>
      </c>
      <c r="AS463" s="15"/>
      <c r="AT463" s="15"/>
      <c r="AU463" s="16"/>
      <c r="AV463" s="17"/>
      <c r="AW463" s="16"/>
      <c r="AX463" s="15"/>
      <c r="AY463" s="19"/>
      <c r="AZ463" s="15"/>
      <c r="BA463" s="18"/>
      <c r="BB463" s="17"/>
      <c r="BC463" s="17"/>
      <c r="BD463" s="17"/>
      <c r="BE463" s="6"/>
    </row>
    <row r="464" spans="1:57" x14ac:dyDescent="0.25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00"/>
      <c r="AB464" s="100"/>
      <c r="AC464" s="11"/>
      <c r="AD464" s="11"/>
      <c r="AE464" s="11"/>
      <c r="AF464" s="11"/>
      <c r="AG464" s="11"/>
      <c r="AH464" s="11"/>
      <c r="AI464" s="11"/>
      <c r="AJ464" s="11"/>
      <c r="AK464" s="11"/>
      <c r="AL464" s="57"/>
      <c r="AM464" s="80"/>
      <c r="AN464" s="80">
        <f t="shared" si="40"/>
        <v>9</v>
      </c>
      <c r="AO464" s="81">
        <f t="shared" si="39"/>
        <v>-10</v>
      </c>
      <c r="AP464" s="82">
        <f t="shared" si="41"/>
        <v>0</v>
      </c>
      <c r="AQ464" s="81">
        <f t="shared" si="42"/>
        <v>-10</v>
      </c>
      <c r="AR464" s="82">
        <f t="shared" si="43"/>
        <v>0.01</v>
      </c>
      <c r="AS464" s="15"/>
      <c r="AT464" s="15"/>
      <c r="AU464" s="16"/>
      <c r="AV464" s="17"/>
      <c r="AW464" s="16"/>
      <c r="AX464" s="15"/>
      <c r="AY464" s="19"/>
      <c r="AZ464" s="15"/>
      <c r="BA464" s="18"/>
      <c r="BB464" s="17"/>
      <c r="BC464" s="17"/>
      <c r="BD464" s="17"/>
      <c r="BE464" s="6"/>
    </row>
    <row r="465" spans="1:57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00"/>
      <c r="AB465" s="100"/>
      <c r="AC465" s="11"/>
      <c r="AD465" s="11"/>
      <c r="AE465" s="11"/>
      <c r="AF465" s="11"/>
      <c r="AG465" s="11"/>
      <c r="AH465" s="11"/>
      <c r="AI465" s="11"/>
      <c r="AJ465" s="11"/>
      <c r="AK465" s="11"/>
      <c r="AL465" s="52"/>
      <c r="AM465" s="53"/>
      <c r="AN465" s="53">
        <f t="shared" si="40"/>
        <v>9</v>
      </c>
      <c r="AO465" s="77">
        <f t="shared" si="39"/>
        <v>-10</v>
      </c>
      <c r="AP465" s="54">
        <f t="shared" si="41"/>
        <v>0</v>
      </c>
      <c r="AQ465" s="77">
        <f t="shared" si="42"/>
        <v>-10</v>
      </c>
      <c r="AR465" s="54">
        <f t="shared" si="43"/>
        <v>0.01</v>
      </c>
      <c r="AS465" s="15"/>
      <c r="AT465" s="15"/>
      <c r="AU465" s="16"/>
      <c r="AV465" s="17"/>
      <c r="AW465" s="16"/>
      <c r="AX465" s="15"/>
      <c r="AY465" s="19"/>
      <c r="AZ465" s="15"/>
      <c r="BA465" s="18"/>
      <c r="BB465" s="17"/>
      <c r="BC465" s="17"/>
      <c r="BD465" s="17"/>
      <c r="BE465" s="6"/>
    </row>
    <row r="466" spans="1:57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00"/>
      <c r="AB466" s="100"/>
      <c r="AC466" s="11"/>
      <c r="AD466" s="11"/>
      <c r="AE466" s="11"/>
      <c r="AF466" s="11"/>
      <c r="AG466" s="11"/>
      <c r="AH466" s="11"/>
      <c r="AI466" s="11"/>
      <c r="AJ466" s="11"/>
      <c r="AK466" s="11"/>
      <c r="AL466" s="57"/>
      <c r="AM466" s="80"/>
      <c r="AN466" s="80">
        <f t="shared" si="40"/>
        <v>9</v>
      </c>
      <c r="AO466" s="81">
        <f t="shared" si="39"/>
        <v>-10</v>
      </c>
      <c r="AP466" s="82">
        <f t="shared" si="41"/>
        <v>0</v>
      </c>
      <c r="AQ466" s="81">
        <f t="shared" si="42"/>
        <v>-10</v>
      </c>
      <c r="AR466" s="82">
        <f t="shared" si="43"/>
        <v>0.01</v>
      </c>
      <c r="AS466" s="15"/>
      <c r="AT466" s="15"/>
      <c r="AU466" s="16"/>
      <c r="AV466" s="17"/>
      <c r="AW466" s="16"/>
      <c r="AX466" s="15"/>
      <c r="AY466" s="19"/>
      <c r="AZ466" s="15"/>
      <c r="BA466" s="18"/>
      <c r="BB466" s="17"/>
      <c r="BC466" s="17"/>
      <c r="BD466" s="17"/>
      <c r="BE466" s="6"/>
    </row>
    <row r="467" spans="1:57" x14ac:dyDescent="0.25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00"/>
      <c r="AB467" s="100"/>
      <c r="AC467" s="11"/>
      <c r="AD467" s="11"/>
      <c r="AE467" s="11"/>
      <c r="AF467" s="11"/>
      <c r="AG467" s="11"/>
      <c r="AH467" s="11"/>
      <c r="AI467" s="11"/>
      <c r="AJ467" s="11"/>
      <c r="AK467" s="11"/>
      <c r="AL467" s="52"/>
      <c r="AM467" s="53"/>
      <c r="AN467" s="53">
        <f t="shared" si="40"/>
        <v>9</v>
      </c>
      <c r="AO467" s="77">
        <f t="shared" si="39"/>
        <v>-10</v>
      </c>
      <c r="AP467" s="54">
        <f t="shared" si="41"/>
        <v>0</v>
      </c>
      <c r="AQ467" s="77">
        <f t="shared" si="42"/>
        <v>-10</v>
      </c>
      <c r="AR467" s="54">
        <f t="shared" si="43"/>
        <v>0.01</v>
      </c>
      <c r="AS467" s="15"/>
      <c r="AT467" s="15"/>
      <c r="AU467" s="16"/>
      <c r="AV467" s="17"/>
      <c r="AW467" s="16"/>
      <c r="AX467" s="15"/>
      <c r="AY467" s="19"/>
      <c r="AZ467" s="15"/>
      <c r="BA467" s="18"/>
      <c r="BB467" s="17"/>
      <c r="BC467" s="17"/>
      <c r="BD467" s="17"/>
      <c r="BE467" s="6"/>
    </row>
    <row r="468" spans="1:57" x14ac:dyDescent="0.25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00"/>
      <c r="AB468" s="100"/>
      <c r="AC468" s="11"/>
      <c r="AD468" s="11"/>
      <c r="AE468" s="11"/>
      <c r="AF468" s="11"/>
      <c r="AG468" s="11"/>
      <c r="AH468" s="11"/>
      <c r="AI468" s="11"/>
      <c r="AJ468" s="11"/>
      <c r="AK468" s="11"/>
      <c r="AL468" s="57"/>
      <c r="AM468" s="80"/>
      <c r="AN468" s="80">
        <f t="shared" si="40"/>
        <v>9</v>
      </c>
      <c r="AO468" s="81">
        <f t="shared" si="39"/>
        <v>-10</v>
      </c>
      <c r="AP468" s="82">
        <f t="shared" si="41"/>
        <v>0</v>
      </c>
      <c r="AQ468" s="81">
        <f t="shared" si="42"/>
        <v>-10</v>
      </c>
      <c r="AR468" s="82">
        <f t="shared" si="43"/>
        <v>0.01</v>
      </c>
      <c r="AS468" s="15"/>
      <c r="AT468" s="15"/>
      <c r="AU468" s="16"/>
      <c r="AV468" s="17"/>
      <c r="AW468" s="16"/>
      <c r="AX468" s="15"/>
      <c r="AY468" s="19"/>
      <c r="AZ468" s="15"/>
      <c r="BA468" s="18"/>
      <c r="BB468" s="17"/>
      <c r="BC468" s="17"/>
      <c r="BD468" s="17"/>
      <c r="BE468" s="6"/>
    </row>
    <row r="469" spans="1:57" x14ac:dyDescent="0.25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00"/>
      <c r="AB469" s="100"/>
      <c r="AC469" s="11"/>
      <c r="AD469" s="11"/>
      <c r="AE469" s="11"/>
      <c r="AF469" s="11"/>
      <c r="AG469" s="11"/>
      <c r="AH469" s="11"/>
      <c r="AI469" s="11"/>
      <c r="AJ469" s="11"/>
      <c r="AK469" s="11"/>
      <c r="AL469" s="52"/>
      <c r="AM469" s="53"/>
      <c r="AN469" s="53">
        <f t="shared" si="40"/>
        <v>9</v>
      </c>
      <c r="AO469" s="77">
        <f t="shared" si="39"/>
        <v>-10</v>
      </c>
      <c r="AP469" s="54">
        <f t="shared" si="41"/>
        <v>0</v>
      </c>
      <c r="AQ469" s="77">
        <f t="shared" si="42"/>
        <v>-10</v>
      </c>
      <c r="AR469" s="54">
        <f t="shared" si="43"/>
        <v>0.01</v>
      </c>
      <c r="AS469" s="15"/>
      <c r="AT469" s="15"/>
      <c r="AU469" s="16"/>
      <c r="AV469" s="17"/>
      <c r="AW469" s="16"/>
      <c r="AX469" s="15"/>
      <c r="AY469" s="19"/>
      <c r="AZ469" s="15"/>
      <c r="BA469" s="18"/>
      <c r="BB469" s="17"/>
      <c r="BC469" s="17"/>
      <c r="BD469" s="17"/>
      <c r="BE469" s="6"/>
    </row>
    <row r="470" spans="1:57" x14ac:dyDescent="0.25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00"/>
      <c r="AB470" s="100"/>
      <c r="AC470" s="11"/>
      <c r="AD470" s="11"/>
      <c r="AE470" s="11"/>
      <c r="AF470" s="11"/>
      <c r="AG470" s="11"/>
      <c r="AH470" s="11"/>
      <c r="AI470" s="11"/>
      <c r="AJ470" s="11"/>
      <c r="AK470" s="11"/>
      <c r="AL470" s="57"/>
      <c r="AM470" s="80"/>
      <c r="AN470" s="80">
        <f t="shared" si="40"/>
        <v>9</v>
      </c>
      <c r="AO470" s="81">
        <f t="shared" si="39"/>
        <v>-10</v>
      </c>
      <c r="AP470" s="82">
        <f t="shared" si="41"/>
        <v>0</v>
      </c>
      <c r="AQ470" s="81">
        <f t="shared" si="42"/>
        <v>-10</v>
      </c>
      <c r="AR470" s="82">
        <f t="shared" si="43"/>
        <v>0.01</v>
      </c>
      <c r="AS470" s="15"/>
      <c r="AT470" s="15"/>
      <c r="AU470" s="16"/>
      <c r="AV470" s="17"/>
      <c r="AW470" s="16"/>
      <c r="AX470" s="15"/>
      <c r="AY470" s="19"/>
      <c r="AZ470" s="15"/>
      <c r="BA470" s="18"/>
      <c r="BB470" s="17"/>
      <c r="BC470" s="17"/>
      <c r="BD470" s="17"/>
      <c r="BE470" s="6"/>
    </row>
    <row r="471" spans="1:57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00"/>
      <c r="AB471" s="100"/>
      <c r="AC471" s="11"/>
      <c r="AD471" s="11"/>
      <c r="AE471" s="11"/>
      <c r="AF471" s="11"/>
      <c r="AG471" s="11"/>
      <c r="AH471" s="11"/>
      <c r="AI471" s="11"/>
      <c r="AJ471" s="11"/>
      <c r="AK471" s="11"/>
      <c r="AL471" s="52"/>
      <c r="AM471" s="53"/>
      <c r="AN471" s="53">
        <f t="shared" si="40"/>
        <v>9</v>
      </c>
      <c r="AO471" s="77">
        <f t="shared" si="39"/>
        <v>-10</v>
      </c>
      <c r="AP471" s="54">
        <f t="shared" si="41"/>
        <v>0</v>
      </c>
      <c r="AQ471" s="77">
        <f t="shared" si="42"/>
        <v>-10</v>
      </c>
      <c r="AR471" s="54">
        <f t="shared" si="43"/>
        <v>0.01</v>
      </c>
      <c r="AS471" s="15"/>
      <c r="AT471" s="15"/>
      <c r="AU471" s="16"/>
      <c r="AV471" s="17"/>
      <c r="AW471" s="16"/>
      <c r="AX471" s="15"/>
      <c r="AY471" s="19"/>
      <c r="AZ471" s="15"/>
      <c r="BA471" s="18"/>
      <c r="BB471" s="17"/>
      <c r="BC471" s="17"/>
      <c r="BD471" s="17"/>
      <c r="BE471" s="6"/>
    </row>
    <row r="472" spans="1:57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00"/>
      <c r="AB472" s="100"/>
      <c r="AC472" s="11"/>
      <c r="AD472" s="11"/>
      <c r="AE472" s="11"/>
      <c r="AF472" s="11"/>
      <c r="AG472" s="11"/>
      <c r="AH472" s="11"/>
      <c r="AI472" s="11"/>
      <c r="AJ472" s="11"/>
      <c r="AK472" s="11"/>
      <c r="AL472" s="57"/>
      <c r="AM472" s="80"/>
      <c r="AN472" s="80">
        <f t="shared" si="40"/>
        <v>9</v>
      </c>
      <c r="AO472" s="81">
        <f t="shared" si="39"/>
        <v>-10</v>
      </c>
      <c r="AP472" s="82">
        <f t="shared" si="41"/>
        <v>0</v>
      </c>
      <c r="AQ472" s="81">
        <f t="shared" si="42"/>
        <v>-10</v>
      </c>
      <c r="AR472" s="82">
        <f t="shared" si="43"/>
        <v>0.01</v>
      </c>
      <c r="AS472" s="15"/>
      <c r="AT472" s="15"/>
      <c r="AU472" s="16"/>
      <c r="AV472" s="17"/>
      <c r="AW472" s="16"/>
      <c r="AX472" s="15"/>
      <c r="AY472" s="19"/>
      <c r="AZ472" s="15"/>
      <c r="BA472" s="18"/>
      <c r="BB472" s="17"/>
      <c r="BC472" s="17"/>
      <c r="BD472" s="17"/>
      <c r="BE472" s="6"/>
    </row>
    <row r="473" spans="1:57" x14ac:dyDescent="0.25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00"/>
      <c r="AB473" s="100"/>
      <c r="AC473" s="11"/>
      <c r="AD473" s="11"/>
      <c r="AE473" s="11"/>
      <c r="AF473" s="11"/>
      <c r="AG473" s="11"/>
      <c r="AH473" s="11"/>
      <c r="AI473" s="11"/>
      <c r="AJ473" s="11"/>
      <c r="AK473" s="11"/>
      <c r="AL473" s="52"/>
      <c r="AM473" s="53"/>
      <c r="AN473" s="53">
        <f t="shared" si="40"/>
        <v>9</v>
      </c>
      <c r="AO473" s="77">
        <f t="shared" si="39"/>
        <v>-10</v>
      </c>
      <c r="AP473" s="54">
        <f t="shared" si="41"/>
        <v>0</v>
      </c>
      <c r="AQ473" s="77">
        <f t="shared" si="42"/>
        <v>-10</v>
      </c>
      <c r="AR473" s="54">
        <f t="shared" si="43"/>
        <v>0.01</v>
      </c>
      <c r="AS473" s="15"/>
      <c r="AT473" s="15"/>
      <c r="AU473" s="16"/>
      <c r="AV473" s="17"/>
      <c r="AW473" s="16"/>
      <c r="AX473" s="15"/>
      <c r="AY473" s="19"/>
      <c r="AZ473" s="15"/>
      <c r="BA473" s="18"/>
      <c r="BB473" s="17"/>
      <c r="BC473" s="17"/>
      <c r="BD473" s="17"/>
      <c r="BE473" s="6"/>
    </row>
    <row r="474" spans="1:57" x14ac:dyDescent="0.25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00"/>
      <c r="AB474" s="100"/>
      <c r="AC474" s="11"/>
      <c r="AD474" s="11"/>
      <c r="AE474" s="11"/>
      <c r="AF474" s="11"/>
      <c r="AG474" s="11"/>
      <c r="AH474" s="11"/>
      <c r="AI474" s="11"/>
      <c r="AJ474" s="11"/>
      <c r="AK474" s="11"/>
      <c r="AL474" s="57"/>
      <c r="AM474" s="80"/>
      <c r="AN474" s="80">
        <f t="shared" si="40"/>
        <v>9</v>
      </c>
      <c r="AO474" s="81">
        <f t="shared" si="39"/>
        <v>-10</v>
      </c>
      <c r="AP474" s="82">
        <f t="shared" si="41"/>
        <v>0</v>
      </c>
      <c r="AQ474" s="81">
        <f t="shared" si="42"/>
        <v>-10</v>
      </c>
      <c r="AR474" s="82">
        <f t="shared" si="43"/>
        <v>0.01</v>
      </c>
      <c r="AS474" s="15"/>
      <c r="AT474" s="15"/>
      <c r="AU474" s="16"/>
      <c r="AV474" s="17"/>
      <c r="AW474" s="16"/>
      <c r="AX474" s="15"/>
      <c r="AY474" s="19"/>
      <c r="AZ474" s="15"/>
      <c r="BA474" s="18"/>
      <c r="BB474" s="17"/>
      <c r="BC474" s="17"/>
      <c r="BD474" s="17"/>
      <c r="BE474" s="6"/>
    </row>
    <row r="475" spans="1:57" x14ac:dyDescent="0.25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00"/>
      <c r="AB475" s="100"/>
      <c r="AC475" s="11"/>
      <c r="AD475" s="11"/>
      <c r="AE475" s="11"/>
      <c r="AF475" s="11"/>
      <c r="AG475" s="11"/>
      <c r="AH475" s="11"/>
      <c r="AI475" s="11"/>
      <c r="AJ475" s="11"/>
      <c r="AK475" s="11"/>
      <c r="AL475" s="52"/>
      <c r="AM475" s="53"/>
      <c r="AN475" s="53">
        <f t="shared" si="40"/>
        <v>9</v>
      </c>
      <c r="AO475" s="77">
        <f t="shared" si="39"/>
        <v>-10</v>
      </c>
      <c r="AP475" s="54">
        <f t="shared" si="41"/>
        <v>0</v>
      </c>
      <c r="AQ475" s="77">
        <f t="shared" si="42"/>
        <v>-10</v>
      </c>
      <c r="AR475" s="54">
        <f t="shared" si="43"/>
        <v>0.01</v>
      </c>
      <c r="AS475" s="15"/>
      <c r="AT475" s="15"/>
      <c r="AU475" s="16"/>
      <c r="AV475" s="17"/>
      <c r="AW475" s="16"/>
      <c r="AX475" s="15"/>
      <c r="AY475" s="19"/>
      <c r="AZ475" s="15"/>
      <c r="BA475" s="18"/>
      <c r="BB475" s="17"/>
      <c r="BC475" s="17"/>
      <c r="BD475" s="17"/>
      <c r="BE475" s="6"/>
    </row>
    <row r="476" spans="1:57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00"/>
      <c r="AB476" s="100"/>
      <c r="AC476" s="11"/>
      <c r="AD476" s="11"/>
      <c r="AE476" s="11"/>
      <c r="AF476" s="11"/>
      <c r="AG476" s="11"/>
      <c r="AH476" s="11"/>
      <c r="AI476" s="11"/>
      <c r="AJ476" s="11"/>
      <c r="AK476" s="11"/>
      <c r="AL476" s="57"/>
      <c r="AM476" s="80"/>
      <c r="AN476" s="80">
        <f t="shared" si="40"/>
        <v>9</v>
      </c>
      <c r="AO476" s="81">
        <f t="shared" si="39"/>
        <v>-10</v>
      </c>
      <c r="AP476" s="82">
        <f t="shared" si="41"/>
        <v>0</v>
      </c>
      <c r="AQ476" s="81">
        <f t="shared" si="42"/>
        <v>-10</v>
      </c>
      <c r="AR476" s="82">
        <f t="shared" si="43"/>
        <v>0.01</v>
      </c>
      <c r="AS476" s="15"/>
      <c r="AT476" s="15"/>
      <c r="AU476" s="16"/>
      <c r="AV476" s="17"/>
      <c r="AW476" s="16"/>
      <c r="AX476" s="15"/>
      <c r="AY476" s="19"/>
      <c r="AZ476" s="15"/>
      <c r="BA476" s="18"/>
      <c r="BB476" s="17"/>
      <c r="BC476" s="17"/>
      <c r="BD476" s="17"/>
      <c r="BE476" s="6"/>
    </row>
    <row r="477" spans="1:57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00"/>
      <c r="AB477" s="100"/>
      <c r="AC477" s="11"/>
      <c r="AD477" s="11"/>
      <c r="AE477" s="11"/>
      <c r="AF477" s="11"/>
      <c r="AG477" s="11"/>
      <c r="AH477" s="11"/>
      <c r="AI477" s="11"/>
      <c r="AJ477" s="11"/>
      <c r="AK477" s="11"/>
      <c r="AL477" s="52"/>
      <c r="AM477" s="53"/>
      <c r="AN477" s="53">
        <f t="shared" si="40"/>
        <v>9</v>
      </c>
      <c r="AO477" s="77">
        <f t="shared" si="39"/>
        <v>-10</v>
      </c>
      <c r="AP477" s="54">
        <f t="shared" si="41"/>
        <v>0</v>
      </c>
      <c r="AQ477" s="77">
        <f t="shared" si="42"/>
        <v>-10</v>
      </c>
      <c r="AR477" s="54">
        <f t="shared" si="43"/>
        <v>0.01</v>
      </c>
      <c r="AS477" s="15"/>
      <c r="AT477" s="15"/>
      <c r="AU477" s="16"/>
      <c r="AV477" s="17"/>
      <c r="AW477" s="16"/>
      <c r="AX477" s="15"/>
      <c r="AY477" s="19"/>
      <c r="AZ477" s="15"/>
      <c r="BA477" s="18"/>
      <c r="BB477" s="17"/>
      <c r="BC477" s="17"/>
      <c r="BD477" s="17"/>
      <c r="BE477" s="6"/>
    </row>
    <row r="478" spans="1:57" x14ac:dyDescent="0.25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00"/>
      <c r="AB478" s="100"/>
      <c r="AC478" s="11"/>
      <c r="AD478" s="11"/>
      <c r="AE478" s="11"/>
      <c r="AF478" s="11"/>
      <c r="AG478" s="11"/>
      <c r="AH478" s="11"/>
      <c r="AI478" s="11"/>
      <c r="AJ478" s="11"/>
      <c r="AK478" s="11"/>
      <c r="AL478" s="57"/>
      <c r="AM478" s="80"/>
      <c r="AN478" s="80">
        <f t="shared" si="40"/>
        <v>9</v>
      </c>
      <c r="AO478" s="81">
        <f t="shared" si="39"/>
        <v>-10</v>
      </c>
      <c r="AP478" s="82">
        <f t="shared" si="41"/>
        <v>0</v>
      </c>
      <c r="AQ478" s="81">
        <f t="shared" si="42"/>
        <v>-10</v>
      </c>
      <c r="AR478" s="82">
        <f t="shared" si="43"/>
        <v>0.01</v>
      </c>
      <c r="AS478" s="15"/>
      <c r="AT478" s="15"/>
      <c r="AU478" s="16"/>
      <c r="AV478" s="17"/>
      <c r="AW478" s="16"/>
      <c r="AX478" s="15"/>
      <c r="AY478" s="19"/>
      <c r="AZ478" s="15"/>
      <c r="BA478" s="18"/>
      <c r="BB478" s="17"/>
      <c r="BC478" s="17"/>
      <c r="BD478" s="17"/>
      <c r="BE478" s="6"/>
    </row>
    <row r="479" spans="1:57" x14ac:dyDescent="0.25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00"/>
      <c r="AB479" s="100"/>
      <c r="AC479" s="11"/>
      <c r="AD479" s="11"/>
      <c r="AE479" s="11"/>
      <c r="AF479" s="11"/>
      <c r="AG479" s="11"/>
      <c r="AH479" s="11"/>
      <c r="AI479" s="11"/>
      <c r="AJ479" s="11"/>
      <c r="AK479" s="11"/>
      <c r="AL479" s="52"/>
      <c r="AM479" s="53"/>
      <c r="AN479" s="53">
        <f t="shared" si="40"/>
        <v>9</v>
      </c>
      <c r="AO479" s="77">
        <f t="shared" si="39"/>
        <v>-10</v>
      </c>
      <c r="AP479" s="54">
        <f t="shared" si="41"/>
        <v>0</v>
      </c>
      <c r="AQ479" s="77">
        <f t="shared" si="42"/>
        <v>-10</v>
      </c>
      <c r="AR479" s="54">
        <f t="shared" si="43"/>
        <v>0.01</v>
      </c>
      <c r="AS479" s="15"/>
      <c r="AT479" s="15"/>
      <c r="AU479" s="16"/>
      <c r="AV479" s="17"/>
      <c r="AW479" s="16"/>
      <c r="AX479" s="15"/>
      <c r="AY479" s="19"/>
      <c r="AZ479" s="15"/>
      <c r="BA479" s="18"/>
      <c r="BB479" s="17"/>
      <c r="BC479" s="17"/>
      <c r="BD479" s="17"/>
      <c r="BE479" s="6"/>
    </row>
    <row r="480" spans="1:57" x14ac:dyDescent="0.25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00"/>
      <c r="AB480" s="100"/>
      <c r="AC480" s="11"/>
      <c r="AD480" s="11"/>
      <c r="AE480" s="11"/>
      <c r="AF480" s="11"/>
      <c r="AG480" s="11"/>
      <c r="AH480" s="11"/>
      <c r="AI480" s="11"/>
      <c r="AJ480" s="11"/>
      <c r="AK480" s="11"/>
      <c r="AL480" s="57"/>
      <c r="AM480" s="80"/>
      <c r="AN480" s="80">
        <f t="shared" si="40"/>
        <v>9</v>
      </c>
      <c r="AO480" s="81">
        <f t="shared" si="39"/>
        <v>-10</v>
      </c>
      <c r="AP480" s="82">
        <f t="shared" si="41"/>
        <v>0</v>
      </c>
      <c r="AQ480" s="81">
        <f t="shared" si="42"/>
        <v>-10</v>
      </c>
      <c r="AR480" s="82">
        <f t="shared" si="43"/>
        <v>0.01</v>
      </c>
      <c r="AS480" s="15"/>
      <c r="AT480" s="15"/>
      <c r="AU480" s="16"/>
      <c r="AV480" s="17"/>
      <c r="AW480" s="16"/>
      <c r="AX480" s="15"/>
      <c r="AY480" s="19"/>
      <c r="AZ480" s="15"/>
      <c r="BA480" s="18"/>
      <c r="BB480" s="17"/>
      <c r="BC480" s="17"/>
      <c r="BD480" s="17"/>
      <c r="BE480" s="6"/>
    </row>
    <row r="481" spans="1:57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00"/>
      <c r="AB481" s="100"/>
      <c r="AC481" s="11"/>
      <c r="AD481" s="11"/>
      <c r="AE481" s="11"/>
      <c r="AF481" s="11"/>
      <c r="AG481" s="11"/>
      <c r="AH481" s="11"/>
      <c r="AI481" s="11"/>
      <c r="AJ481" s="11"/>
      <c r="AK481" s="11"/>
      <c r="AL481" s="52"/>
      <c r="AM481" s="53"/>
      <c r="AN481" s="53">
        <f t="shared" si="40"/>
        <v>9</v>
      </c>
      <c r="AO481" s="77">
        <f t="shared" si="39"/>
        <v>-10</v>
      </c>
      <c r="AP481" s="54">
        <f t="shared" si="41"/>
        <v>0</v>
      </c>
      <c r="AQ481" s="77">
        <f t="shared" si="42"/>
        <v>-10</v>
      </c>
      <c r="AR481" s="54">
        <f t="shared" si="43"/>
        <v>0.01</v>
      </c>
      <c r="AS481" s="15"/>
      <c r="AT481" s="15"/>
      <c r="AU481" s="16"/>
      <c r="AV481" s="17"/>
      <c r="AW481" s="16"/>
      <c r="AX481" s="15"/>
      <c r="AY481" s="19"/>
      <c r="AZ481" s="15"/>
      <c r="BA481" s="18"/>
      <c r="BB481" s="17"/>
      <c r="BC481" s="17"/>
      <c r="BD481" s="17"/>
      <c r="BE481" s="6"/>
    </row>
    <row r="482" spans="1:57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00"/>
      <c r="AB482" s="100"/>
      <c r="AC482" s="11"/>
      <c r="AD482" s="11"/>
      <c r="AE482" s="11"/>
      <c r="AF482" s="11"/>
      <c r="AG482" s="11"/>
      <c r="AH482" s="11"/>
      <c r="AI482" s="11"/>
      <c r="AJ482" s="11"/>
      <c r="AK482" s="11"/>
      <c r="AL482" s="57"/>
      <c r="AM482" s="80"/>
      <c r="AN482" s="80">
        <f t="shared" si="40"/>
        <v>9</v>
      </c>
      <c r="AO482" s="81">
        <f t="shared" si="39"/>
        <v>-10</v>
      </c>
      <c r="AP482" s="82">
        <f t="shared" si="41"/>
        <v>0</v>
      </c>
      <c r="AQ482" s="81">
        <f t="shared" si="42"/>
        <v>-10</v>
      </c>
      <c r="AR482" s="82">
        <f t="shared" si="43"/>
        <v>0.01</v>
      </c>
      <c r="AS482" s="15"/>
      <c r="AT482" s="15"/>
      <c r="AU482" s="16"/>
      <c r="AV482" s="17"/>
      <c r="AW482" s="16"/>
      <c r="AX482" s="15"/>
      <c r="AY482" s="19"/>
      <c r="AZ482" s="15"/>
      <c r="BA482" s="18"/>
      <c r="BB482" s="17"/>
      <c r="BC482" s="17"/>
      <c r="BD482" s="17"/>
      <c r="BE482" s="6"/>
    </row>
    <row r="483" spans="1:57" x14ac:dyDescent="0.25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00"/>
      <c r="AB483" s="100"/>
      <c r="AC483" s="11"/>
      <c r="AD483" s="11"/>
      <c r="AE483" s="11"/>
      <c r="AF483" s="11"/>
      <c r="AG483" s="11"/>
      <c r="AH483" s="11"/>
      <c r="AI483" s="11"/>
      <c r="AJ483" s="11"/>
      <c r="AK483" s="11"/>
      <c r="AL483" s="52"/>
      <c r="AM483" s="53"/>
      <c r="AN483" s="53">
        <f t="shared" si="40"/>
        <v>9</v>
      </c>
      <c r="AO483" s="77">
        <f t="shared" si="39"/>
        <v>-10</v>
      </c>
      <c r="AP483" s="54">
        <f t="shared" si="41"/>
        <v>0</v>
      </c>
      <c r="AQ483" s="77">
        <f t="shared" si="42"/>
        <v>-10</v>
      </c>
      <c r="AR483" s="54">
        <f t="shared" si="43"/>
        <v>0.01</v>
      </c>
      <c r="AS483" s="15"/>
      <c r="AT483" s="15"/>
      <c r="AU483" s="16"/>
      <c r="AV483" s="17"/>
      <c r="AW483" s="16"/>
      <c r="AX483" s="15"/>
      <c r="AY483" s="19"/>
      <c r="AZ483" s="15"/>
      <c r="BA483" s="18"/>
      <c r="BB483" s="17"/>
      <c r="BC483" s="17"/>
      <c r="BD483" s="17"/>
      <c r="BE483" s="6"/>
    </row>
    <row r="484" spans="1:57" x14ac:dyDescent="0.25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00"/>
      <c r="AB484" s="100"/>
      <c r="AC484" s="11"/>
      <c r="AD484" s="11"/>
      <c r="AE484" s="11"/>
      <c r="AF484" s="11"/>
      <c r="AG484" s="11"/>
      <c r="AH484" s="11"/>
      <c r="AI484" s="11"/>
      <c r="AJ484" s="11"/>
      <c r="AK484" s="11"/>
      <c r="AL484" s="57"/>
      <c r="AM484" s="80"/>
      <c r="AN484" s="80">
        <f t="shared" si="40"/>
        <v>9</v>
      </c>
      <c r="AO484" s="81">
        <f t="shared" si="39"/>
        <v>-10</v>
      </c>
      <c r="AP484" s="82">
        <f t="shared" si="41"/>
        <v>0</v>
      </c>
      <c r="AQ484" s="81">
        <f t="shared" si="42"/>
        <v>-10</v>
      </c>
      <c r="AR484" s="82">
        <f t="shared" si="43"/>
        <v>0.01</v>
      </c>
      <c r="AS484" s="15"/>
      <c r="AT484" s="15"/>
      <c r="AU484" s="16"/>
      <c r="AV484" s="17"/>
      <c r="AW484" s="16"/>
      <c r="AX484" s="15"/>
      <c r="AY484" s="19"/>
      <c r="AZ484" s="15"/>
      <c r="BA484" s="18"/>
      <c r="BB484" s="17"/>
      <c r="BC484" s="17"/>
      <c r="BD484" s="17"/>
      <c r="BE484" s="6"/>
    </row>
    <row r="485" spans="1:57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00"/>
      <c r="AB485" s="100"/>
      <c r="AC485" s="11"/>
      <c r="AD485" s="11"/>
      <c r="AE485" s="11"/>
      <c r="AF485" s="11"/>
      <c r="AG485" s="11"/>
      <c r="AH485" s="11"/>
      <c r="AI485" s="11"/>
      <c r="AJ485" s="11"/>
      <c r="AK485" s="11"/>
      <c r="AL485" s="52"/>
      <c r="AM485" s="53"/>
      <c r="AN485" s="53">
        <f t="shared" si="40"/>
        <v>9</v>
      </c>
      <c r="AO485" s="77">
        <f t="shared" si="39"/>
        <v>-10</v>
      </c>
      <c r="AP485" s="54">
        <f t="shared" si="41"/>
        <v>0</v>
      </c>
      <c r="AQ485" s="77">
        <f t="shared" si="42"/>
        <v>-10</v>
      </c>
      <c r="AR485" s="54">
        <f t="shared" si="43"/>
        <v>0.01</v>
      </c>
      <c r="AS485" s="15"/>
      <c r="AT485" s="15"/>
      <c r="AU485" s="16"/>
      <c r="AV485" s="17"/>
      <c r="AW485" s="16"/>
      <c r="AX485" s="15"/>
      <c r="AY485" s="19"/>
      <c r="AZ485" s="15"/>
      <c r="BA485" s="18"/>
      <c r="BB485" s="17"/>
      <c r="BC485" s="17"/>
      <c r="BD485" s="17"/>
      <c r="BE485" s="6"/>
    </row>
    <row r="486" spans="1:57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00"/>
      <c r="AB486" s="100"/>
      <c r="AC486" s="11"/>
      <c r="AD486" s="11"/>
      <c r="AE486" s="11"/>
      <c r="AF486" s="11"/>
      <c r="AG486" s="11"/>
      <c r="AH486" s="11"/>
      <c r="AI486" s="11"/>
      <c r="AJ486" s="11"/>
      <c r="AK486" s="11"/>
      <c r="AL486" s="57"/>
      <c r="AM486" s="80"/>
      <c r="AN486" s="80">
        <f t="shared" si="40"/>
        <v>9</v>
      </c>
      <c r="AO486" s="81">
        <f t="shared" si="39"/>
        <v>-10</v>
      </c>
      <c r="AP486" s="82">
        <f t="shared" si="41"/>
        <v>0</v>
      </c>
      <c r="AQ486" s="81">
        <f t="shared" si="42"/>
        <v>-10</v>
      </c>
      <c r="AR486" s="82">
        <f t="shared" si="43"/>
        <v>0.01</v>
      </c>
      <c r="AS486" s="15"/>
      <c r="AT486" s="15"/>
      <c r="AU486" s="16"/>
      <c r="AV486" s="17"/>
      <c r="AW486" s="16"/>
      <c r="AX486" s="15"/>
      <c r="AY486" s="19"/>
      <c r="AZ486" s="15"/>
      <c r="BA486" s="18"/>
      <c r="BB486" s="17"/>
      <c r="BC486" s="17"/>
      <c r="BD486" s="17"/>
      <c r="BE486" s="6"/>
    </row>
    <row r="487" spans="1:57" x14ac:dyDescent="0.25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00"/>
      <c r="AB487" s="100"/>
      <c r="AC487" s="11"/>
      <c r="AD487" s="11"/>
      <c r="AE487" s="11"/>
      <c r="AF487" s="11"/>
      <c r="AG487" s="11"/>
      <c r="AH487" s="11"/>
      <c r="AI487" s="11"/>
      <c r="AJ487" s="11"/>
      <c r="AK487" s="11"/>
      <c r="AL487" s="52"/>
      <c r="AM487" s="53"/>
      <c r="AN487" s="53">
        <f t="shared" si="40"/>
        <v>9</v>
      </c>
      <c r="AO487" s="77">
        <f t="shared" si="39"/>
        <v>-10</v>
      </c>
      <c r="AP487" s="54">
        <f t="shared" si="41"/>
        <v>0</v>
      </c>
      <c r="AQ487" s="77">
        <f t="shared" si="42"/>
        <v>-10</v>
      </c>
      <c r="AR487" s="54">
        <f t="shared" si="43"/>
        <v>0.01</v>
      </c>
      <c r="AS487" s="15"/>
      <c r="AT487" s="15"/>
      <c r="AU487" s="16"/>
      <c r="AV487" s="17"/>
      <c r="AW487" s="16"/>
      <c r="AX487" s="15"/>
      <c r="AY487" s="19"/>
      <c r="AZ487" s="15"/>
      <c r="BA487" s="18"/>
      <c r="BB487" s="17"/>
      <c r="BC487" s="17"/>
      <c r="BD487" s="17"/>
      <c r="BE487" s="6"/>
    </row>
    <row r="488" spans="1:57" x14ac:dyDescent="0.25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00"/>
      <c r="AB488" s="100"/>
      <c r="AC488" s="11"/>
      <c r="AD488" s="11"/>
      <c r="AE488" s="11"/>
      <c r="AF488" s="11"/>
      <c r="AG488" s="11"/>
      <c r="AH488" s="11"/>
      <c r="AI488" s="11"/>
      <c r="AJ488" s="11"/>
      <c r="AK488" s="11"/>
      <c r="AL488" s="57"/>
      <c r="AM488" s="80"/>
      <c r="AN488" s="80">
        <f t="shared" si="40"/>
        <v>9</v>
      </c>
      <c r="AO488" s="81">
        <f t="shared" si="39"/>
        <v>-10</v>
      </c>
      <c r="AP488" s="82">
        <f t="shared" si="41"/>
        <v>0</v>
      </c>
      <c r="AQ488" s="81">
        <f t="shared" si="42"/>
        <v>-10</v>
      </c>
      <c r="AR488" s="82">
        <f t="shared" si="43"/>
        <v>0.01</v>
      </c>
      <c r="AS488" s="15"/>
      <c r="AT488" s="15"/>
      <c r="AU488" s="16"/>
      <c r="AV488" s="17"/>
      <c r="AW488" s="16"/>
      <c r="AX488" s="15"/>
      <c r="AY488" s="19"/>
      <c r="AZ488" s="15"/>
      <c r="BA488" s="18"/>
      <c r="BB488" s="17"/>
      <c r="BC488" s="17"/>
      <c r="BD488" s="17"/>
      <c r="BE488" s="6"/>
    </row>
    <row r="489" spans="1:57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00"/>
      <c r="AB489" s="100"/>
      <c r="AC489" s="11"/>
      <c r="AD489" s="11"/>
      <c r="AE489" s="11"/>
      <c r="AF489" s="11"/>
      <c r="AG489" s="11"/>
      <c r="AH489" s="11"/>
      <c r="AI489" s="11"/>
      <c r="AJ489" s="11"/>
      <c r="AK489" s="11"/>
      <c r="AL489" s="52"/>
      <c r="AM489" s="53"/>
      <c r="AN489" s="53">
        <f t="shared" si="40"/>
        <v>9</v>
      </c>
      <c r="AO489" s="77">
        <f t="shared" si="39"/>
        <v>-10</v>
      </c>
      <c r="AP489" s="54">
        <f t="shared" si="41"/>
        <v>0</v>
      </c>
      <c r="AQ489" s="77">
        <f t="shared" si="42"/>
        <v>-10</v>
      </c>
      <c r="AR489" s="54">
        <f t="shared" si="43"/>
        <v>0.01</v>
      </c>
      <c r="AS489" s="15"/>
      <c r="AT489" s="15"/>
      <c r="AU489" s="16"/>
      <c r="AV489" s="17"/>
      <c r="AW489" s="16"/>
      <c r="AX489" s="15"/>
      <c r="AY489" s="19"/>
      <c r="AZ489" s="15"/>
      <c r="BA489" s="18"/>
      <c r="BB489" s="17"/>
      <c r="BC489" s="17"/>
      <c r="BD489" s="17"/>
      <c r="BE489" s="6"/>
    </row>
    <row r="490" spans="1:57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00"/>
      <c r="AB490" s="100"/>
      <c r="AC490" s="11"/>
      <c r="AD490" s="11"/>
      <c r="AE490" s="11"/>
      <c r="AF490" s="11"/>
      <c r="AG490" s="11"/>
      <c r="AH490" s="11"/>
      <c r="AI490" s="11"/>
      <c r="AJ490" s="11"/>
      <c r="AK490" s="11"/>
      <c r="AL490" s="57"/>
      <c r="AM490" s="80"/>
      <c r="AN490" s="80">
        <f t="shared" si="40"/>
        <v>9</v>
      </c>
      <c r="AO490" s="81">
        <f t="shared" si="39"/>
        <v>-10</v>
      </c>
      <c r="AP490" s="82">
        <f t="shared" si="41"/>
        <v>0</v>
      </c>
      <c r="AQ490" s="81">
        <f t="shared" si="42"/>
        <v>-10</v>
      </c>
      <c r="AR490" s="82">
        <f t="shared" si="43"/>
        <v>0.01</v>
      </c>
      <c r="AS490" s="15"/>
      <c r="AT490" s="15"/>
      <c r="AU490" s="16"/>
      <c r="AV490" s="17"/>
      <c r="AW490" s="16"/>
      <c r="AX490" s="15"/>
      <c r="AY490" s="19"/>
      <c r="AZ490" s="15"/>
      <c r="BA490" s="18"/>
      <c r="BB490" s="17"/>
      <c r="BC490" s="17"/>
      <c r="BD490" s="17"/>
      <c r="BE490" s="6"/>
    </row>
    <row r="491" spans="1:57" x14ac:dyDescent="0.25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00"/>
      <c r="AB491" s="100"/>
      <c r="AC491" s="11"/>
      <c r="AD491" s="11"/>
      <c r="AE491" s="11"/>
      <c r="AF491" s="11"/>
      <c r="AG491" s="11"/>
      <c r="AH491" s="11"/>
      <c r="AI491" s="11"/>
      <c r="AJ491" s="11"/>
      <c r="AK491" s="11"/>
      <c r="AL491" s="52"/>
      <c r="AM491" s="53"/>
      <c r="AN491" s="53">
        <f t="shared" si="40"/>
        <v>9</v>
      </c>
      <c r="AO491" s="77">
        <f t="shared" si="39"/>
        <v>-10</v>
      </c>
      <c r="AP491" s="54">
        <f t="shared" si="41"/>
        <v>0</v>
      </c>
      <c r="AQ491" s="77">
        <f t="shared" si="42"/>
        <v>-10</v>
      </c>
      <c r="AR491" s="54">
        <f t="shared" si="43"/>
        <v>0.01</v>
      </c>
      <c r="AS491" s="15"/>
      <c r="AT491" s="15"/>
      <c r="AU491" s="16"/>
      <c r="AV491" s="17"/>
      <c r="AW491" s="16"/>
      <c r="AX491" s="15"/>
      <c r="AY491" s="19"/>
      <c r="AZ491" s="15"/>
      <c r="BA491" s="18"/>
      <c r="BB491" s="17"/>
      <c r="BC491" s="17"/>
      <c r="BD491" s="17"/>
      <c r="BE491" s="6"/>
    </row>
    <row r="492" spans="1:57" x14ac:dyDescent="0.25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00"/>
      <c r="AB492" s="100"/>
      <c r="AC492" s="11"/>
      <c r="AD492" s="11"/>
      <c r="AE492" s="11"/>
      <c r="AF492" s="11"/>
      <c r="AG492" s="11"/>
      <c r="AH492" s="11"/>
      <c r="AI492" s="11"/>
      <c r="AJ492" s="11"/>
      <c r="AK492" s="11"/>
      <c r="AL492" s="57"/>
      <c r="AM492" s="80"/>
      <c r="AN492" s="80">
        <f t="shared" si="40"/>
        <v>9</v>
      </c>
      <c r="AO492" s="81">
        <f t="shared" si="39"/>
        <v>-10</v>
      </c>
      <c r="AP492" s="82">
        <f t="shared" si="41"/>
        <v>0</v>
      </c>
      <c r="AQ492" s="81">
        <f t="shared" si="42"/>
        <v>-10</v>
      </c>
      <c r="AR492" s="82">
        <f t="shared" si="43"/>
        <v>0.01</v>
      </c>
      <c r="AS492" s="15"/>
      <c r="AT492" s="15"/>
      <c r="AU492" s="16"/>
      <c r="AV492" s="17"/>
      <c r="AW492" s="16"/>
      <c r="AX492" s="15"/>
      <c r="AY492" s="19"/>
      <c r="AZ492" s="15"/>
      <c r="BA492" s="18"/>
      <c r="BB492" s="17"/>
      <c r="BC492" s="17"/>
      <c r="BD492" s="17"/>
      <c r="BE492" s="6"/>
    </row>
    <row r="493" spans="1:57" x14ac:dyDescent="0.25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00"/>
      <c r="AB493" s="100"/>
      <c r="AC493" s="11"/>
      <c r="AD493" s="11"/>
      <c r="AE493" s="11"/>
      <c r="AF493" s="11"/>
      <c r="AG493" s="11"/>
      <c r="AH493" s="11"/>
      <c r="AI493" s="11"/>
      <c r="AJ493" s="11"/>
      <c r="AK493" s="11"/>
      <c r="AL493" s="52"/>
      <c r="AM493" s="53"/>
      <c r="AN493" s="53">
        <f t="shared" si="40"/>
        <v>9</v>
      </c>
      <c r="AO493" s="77">
        <f t="shared" si="39"/>
        <v>-10</v>
      </c>
      <c r="AP493" s="54">
        <f t="shared" si="41"/>
        <v>0</v>
      </c>
      <c r="AQ493" s="77">
        <f t="shared" si="42"/>
        <v>-10</v>
      </c>
      <c r="AR493" s="54">
        <f t="shared" si="43"/>
        <v>0.01</v>
      </c>
      <c r="AS493" s="15"/>
      <c r="AT493" s="15"/>
      <c r="AU493" s="16"/>
      <c r="AV493" s="17"/>
      <c r="AW493" s="16"/>
      <c r="AX493" s="15"/>
      <c r="AY493" s="19"/>
      <c r="AZ493" s="15"/>
      <c r="BA493" s="18"/>
      <c r="BB493" s="17"/>
      <c r="BC493" s="17"/>
      <c r="BD493" s="17"/>
      <c r="BE493" s="6"/>
    </row>
    <row r="494" spans="1:57" x14ac:dyDescent="0.25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00"/>
      <c r="AB494" s="100"/>
      <c r="AC494" s="11"/>
      <c r="AD494" s="11"/>
      <c r="AE494" s="11"/>
      <c r="AF494" s="11"/>
      <c r="AG494" s="11"/>
      <c r="AH494" s="11"/>
      <c r="AI494" s="11"/>
      <c r="AJ494" s="11"/>
      <c r="AK494" s="11"/>
      <c r="AL494" s="57"/>
      <c r="AM494" s="80"/>
      <c r="AN494" s="80">
        <f t="shared" si="40"/>
        <v>9</v>
      </c>
      <c r="AO494" s="81">
        <f t="shared" si="39"/>
        <v>-10</v>
      </c>
      <c r="AP494" s="82">
        <f t="shared" si="41"/>
        <v>0</v>
      </c>
      <c r="AQ494" s="81">
        <f t="shared" si="42"/>
        <v>-10</v>
      </c>
      <c r="AR494" s="82">
        <f t="shared" si="43"/>
        <v>0.01</v>
      </c>
      <c r="AS494" s="15"/>
      <c r="AT494" s="15"/>
      <c r="AU494" s="16"/>
      <c r="AV494" s="17"/>
      <c r="AW494" s="16"/>
      <c r="AX494" s="15"/>
      <c r="AY494" s="19"/>
      <c r="AZ494" s="15"/>
      <c r="BA494" s="18"/>
      <c r="BB494" s="17"/>
      <c r="BC494" s="17"/>
      <c r="BD494" s="17"/>
      <c r="BE494" s="6"/>
    </row>
    <row r="495" spans="1:57" x14ac:dyDescent="0.25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00"/>
      <c r="AB495" s="100"/>
      <c r="AC495" s="11"/>
      <c r="AD495" s="11"/>
      <c r="AE495" s="11"/>
      <c r="AF495" s="11"/>
      <c r="AG495" s="11"/>
      <c r="AH495" s="11"/>
      <c r="AI495" s="11"/>
      <c r="AJ495" s="11"/>
      <c r="AK495" s="11"/>
      <c r="AL495" s="52"/>
      <c r="AM495" s="53"/>
      <c r="AN495" s="53">
        <f t="shared" si="40"/>
        <v>9</v>
      </c>
      <c r="AO495" s="77">
        <f t="shared" ref="AO495:AO500" si="44">IF(AO494+(AQ494/AN495)&lt;AQ494,AQ494,AO494+(AQ494/AN495))</f>
        <v>-10</v>
      </c>
      <c r="AP495" s="54">
        <f t="shared" si="41"/>
        <v>0</v>
      </c>
      <c r="AQ495" s="77">
        <f t="shared" si="42"/>
        <v>-10</v>
      </c>
      <c r="AR495" s="54">
        <f t="shared" si="43"/>
        <v>0.01</v>
      </c>
      <c r="AS495" s="15"/>
      <c r="AT495" s="15"/>
      <c r="AU495" s="16"/>
      <c r="AV495" s="17"/>
      <c r="AW495" s="16"/>
      <c r="AX495" s="15"/>
      <c r="AY495" s="19"/>
      <c r="AZ495" s="15"/>
      <c r="BA495" s="18"/>
      <c r="BB495" s="17"/>
      <c r="BC495" s="17"/>
      <c r="BD495" s="17"/>
      <c r="BE495" s="6"/>
    </row>
    <row r="496" spans="1:57" x14ac:dyDescent="0.25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00"/>
      <c r="AB496" s="100"/>
      <c r="AC496" s="11"/>
      <c r="AD496" s="11"/>
      <c r="AE496" s="11"/>
      <c r="AF496" s="11"/>
      <c r="AG496" s="11"/>
      <c r="AH496" s="11"/>
      <c r="AI496" s="11"/>
      <c r="AJ496" s="11"/>
      <c r="AK496" s="11"/>
      <c r="AL496" s="57"/>
      <c r="AM496" s="80"/>
      <c r="AN496" s="80">
        <f t="shared" si="40"/>
        <v>9</v>
      </c>
      <c r="AO496" s="81">
        <f t="shared" si="44"/>
        <v>-10</v>
      </c>
      <c r="AP496" s="82">
        <f t="shared" si="41"/>
        <v>0</v>
      </c>
      <c r="AQ496" s="81">
        <f t="shared" si="42"/>
        <v>-10</v>
      </c>
      <c r="AR496" s="82">
        <f t="shared" si="43"/>
        <v>0.01</v>
      </c>
      <c r="AS496" s="15"/>
      <c r="AT496" s="15"/>
      <c r="AU496" s="16"/>
      <c r="AV496" s="17"/>
      <c r="AW496" s="16"/>
      <c r="AX496" s="15"/>
      <c r="AY496" s="19"/>
      <c r="AZ496" s="15"/>
      <c r="BA496" s="18"/>
      <c r="BB496" s="17"/>
      <c r="BC496" s="17"/>
      <c r="BD496" s="17"/>
      <c r="BE496" s="6"/>
    </row>
    <row r="497" spans="1:57" x14ac:dyDescent="0.25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00"/>
      <c r="AB497" s="100"/>
      <c r="AC497" s="11"/>
      <c r="AD497" s="11"/>
      <c r="AE497" s="11"/>
      <c r="AF497" s="11"/>
      <c r="AG497" s="11"/>
      <c r="AH497" s="11"/>
      <c r="AI497" s="11"/>
      <c r="AJ497" s="11"/>
      <c r="AK497" s="11"/>
      <c r="AL497" s="52"/>
      <c r="AM497" s="53"/>
      <c r="AN497" s="53">
        <f t="shared" si="40"/>
        <v>9</v>
      </c>
      <c r="AO497" s="77">
        <f t="shared" si="44"/>
        <v>-10</v>
      </c>
      <c r="AP497" s="54">
        <f t="shared" si="41"/>
        <v>0</v>
      </c>
      <c r="AQ497" s="77">
        <f t="shared" si="42"/>
        <v>-10</v>
      </c>
      <c r="AR497" s="54">
        <f t="shared" si="43"/>
        <v>0.01</v>
      </c>
      <c r="AS497" s="15"/>
      <c r="AT497" s="15"/>
      <c r="AU497" s="16"/>
      <c r="AV497" s="17"/>
      <c r="AW497" s="16"/>
      <c r="AX497" s="15"/>
      <c r="AY497" s="19"/>
      <c r="AZ497" s="15"/>
      <c r="BA497" s="18"/>
      <c r="BB497" s="17"/>
      <c r="BC497" s="17"/>
      <c r="BD497" s="17"/>
      <c r="BE497" s="6"/>
    </row>
    <row r="498" spans="1:57" x14ac:dyDescent="0.25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00"/>
      <c r="AB498" s="100"/>
      <c r="AC498" s="11"/>
      <c r="AD498" s="11"/>
      <c r="AE498" s="11"/>
      <c r="AF498" s="11"/>
      <c r="AG498" s="11"/>
      <c r="AH498" s="11"/>
      <c r="AI498" s="11"/>
      <c r="AJ498" s="11"/>
      <c r="AK498" s="11"/>
      <c r="AL498" s="57"/>
      <c r="AM498" s="80"/>
      <c r="AN498" s="80">
        <f t="shared" si="40"/>
        <v>9</v>
      </c>
      <c r="AO498" s="81">
        <f t="shared" si="44"/>
        <v>-10</v>
      </c>
      <c r="AP498" s="82">
        <f t="shared" si="41"/>
        <v>0</v>
      </c>
      <c r="AQ498" s="81">
        <f t="shared" si="42"/>
        <v>-10</v>
      </c>
      <c r="AR498" s="82">
        <f t="shared" si="43"/>
        <v>0.01</v>
      </c>
      <c r="AS498" s="15"/>
      <c r="AT498" s="15"/>
      <c r="AU498" s="16"/>
      <c r="AV498" s="17"/>
      <c r="AW498" s="16"/>
      <c r="AX498" s="15"/>
      <c r="AY498" s="19"/>
      <c r="AZ498" s="15"/>
      <c r="BA498" s="18"/>
      <c r="BB498" s="17"/>
      <c r="BC498" s="17"/>
      <c r="BD498" s="17"/>
      <c r="BE498" s="6"/>
    </row>
    <row r="499" spans="1:57" x14ac:dyDescent="0.25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00"/>
      <c r="AB499" s="100"/>
      <c r="AC499" s="11"/>
      <c r="AD499" s="11"/>
      <c r="AE499" s="11"/>
      <c r="AF499" s="11"/>
      <c r="AG499" s="11"/>
      <c r="AH499" s="11"/>
      <c r="AI499" s="11"/>
      <c r="AJ499" s="11"/>
      <c r="AK499" s="11"/>
      <c r="AL499" s="52"/>
      <c r="AM499" s="53"/>
      <c r="AN499" s="53">
        <f t="shared" si="40"/>
        <v>9</v>
      </c>
      <c r="AO499" s="77">
        <f t="shared" si="44"/>
        <v>-10</v>
      </c>
      <c r="AP499" s="54">
        <f t="shared" si="41"/>
        <v>0</v>
      </c>
      <c r="AQ499" s="77">
        <f t="shared" si="42"/>
        <v>-10</v>
      </c>
      <c r="AR499" s="54">
        <f t="shared" si="43"/>
        <v>0.01</v>
      </c>
      <c r="AS499" s="15"/>
      <c r="AT499" s="15"/>
      <c r="AU499" s="16"/>
      <c r="AV499" s="17"/>
      <c r="AW499" s="16"/>
      <c r="AX499" s="15"/>
      <c r="AY499" s="19"/>
      <c r="AZ499" s="15"/>
      <c r="BA499" s="18"/>
      <c r="BB499" s="17"/>
      <c r="BC499" s="17"/>
      <c r="BD499" s="17"/>
      <c r="BE499" s="6"/>
    </row>
    <row r="500" spans="1:57" x14ac:dyDescent="0.25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00"/>
      <c r="AB500" s="100"/>
      <c r="AC500" s="11"/>
      <c r="AD500" s="11"/>
      <c r="AE500" s="11"/>
      <c r="AF500" s="11"/>
      <c r="AG500" s="11"/>
      <c r="AH500" s="11"/>
      <c r="AI500" s="11"/>
      <c r="AJ500" s="11"/>
      <c r="AK500" s="11"/>
      <c r="AL500" s="57"/>
      <c r="AM500" s="80"/>
      <c r="AN500" s="80">
        <f t="shared" si="40"/>
        <v>9</v>
      </c>
      <c r="AO500" s="81">
        <f t="shared" si="44"/>
        <v>-10</v>
      </c>
      <c r="AP500" s="82">
        <f t="shared" si="41"/>
        <v>0</v>
      </c>
      <c r="AQ500" s="81">
        <f t="shared" si="42"/>
        <v>-10</v>
      </c>
      <c r="AR500" s="82">
        <f t="shared" si="43"/>
        <v>0.01</v>
      </c>
      <c r="AS500" s="15"/>
      <c r="AT500" s="15"/>
      <c r="AU500" s="16"/>
      <c r="AV500" s="17"/>
      <c r="AW500" s="16"/>
      <c r="AX500" s="15"/>
      <c r="AY500" s="19"/>
      <c r="AZ500" s="15"/>
      <c r="BA500" s="18"/>
      <c r="BB500" s="17"/>
      <c r="BC500" s="17"/>
      <c r="BD500" s="17"/>
      <c r="BE500" s="6"/>
    </row>
    <row r="501" spans="1:57" x14ac:dyDescent="0.25">
      <c r="AA501" s="1"/>
      <c r="AB501" s="1"/>
      <c r="AC501" s="1"/>
      <c r="AD501" s="2"/>
      <c r="AE501" s="2"/>
      <c r="AF501" s="2"/>
      <c r="AG501" s="4"/>
      <c r="AH501" s="2"/>
      <c r="AI501" s="5"/>
      <c r="AJ501" s="2"/>
      <c r="AK501" s="2"/>
      <c r="AL501" s="3"/>
      <c r="AM501" s="1"/>
      <c r="AN501" s="3"/>
      <c r="AO501" s="2"/>
      <c r="AP501" s="4"/>
      <c r="AQ501" s="2"/>
      <c r="AR501" s="5"/>
      <c r="AS501" s="1"/>
      <c r="AT501" s="1"/>
      <c r="AU501" s="1"/>
      <c r="AV501" s="1"/>
      <c r="AW501" s="1"/>
      <c r="AX501" s="1"/>
      <c r="AY501" s="1"/>
      <c r="AZ501" s="1"/>
    </row>
    <row r="502" spans="1:57" x14ac:dyDescent="0.25"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3"/>
      <c r="AM502" s="1"/>
      <c r="AN502" s="3"/>
      <c r="AO502" s="2"/>
      <c r="AP502" s="4"/>
      <c r="AQ502" s="2"/>
      <c r="AR502" s="5"/>
      <c r="AS502" s="1"/>
      <c r="AT502" s="1"/>
      <c r="AU502" s="1"/>
      <c r="AV502" s="1"/>
      <c r="AW502" s="1"/>
      <c r="AX502" s="1"/>
      <c r="AY502" s="1"/>
      <c r="AZ502" s="1"/>
    </row>
    <row r="503" spans="1:57" x14ac:dyDescent="0.25"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3"/>
      <c r="AM503" s="1"/>
      <c r="AN503" s="3"/>
      <c r="AO503" s="2"/>
      <c r="AP503" s="4"/>
      <c r="AQ503" s="2"/>
      <c r="AR503" s="5"/>
      <c r="AS503" s="1"/>
      <c r="AT503" s="1"/>
      <c r="AU503" s="1"/>
      <c r="AV503" s="1"/>
      <c r="AW503" s="1"/>
      <c r="AX503" s="1"/>
      <c r="AY503" s="1"/>
      <c r="AZ503" s="1"/>
    </row>
    <row r="504" spans="1:57" x14ac:dyDescent="0.25"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</row>
    <row r="505" spans="1:57" x14ac:dyDescent="0.25"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</row>
  </sheetData>
  <mergeCells count="25">
    <mergeCell ref="B26:C26"/>
    <mergeCell ref="D25:E25"/>
    <mergeCell ref="D26:E26"/>
    <mergeCell ref="B21:C21"/>
    <mergeCell ref="D21:E21"/>
    <mergeCell ref="B22:C22"/>
    <mergeCell ref="B23:C23"/>
    <mergeCell ref="B24:C24"/>
    <mergeCell ref="D22:E22"/>
    <mergeCell ref="D24:E24"/>
    <mergeCell ref="D23:E23"/>
    <mergeCell ref="C3:D3"/>
    <mergeCell ref="C4:D4"/>
    <mergeCell ref="C5:D5"/>
    <mergeCell ref="C6:D6"/>
    <mergeCell ref="B25:C25"/>
    <mergeCell ref="C9:D9"/>
    <mergeCell ref="C10:D10"/>
    <mergeCell ref="C8:D8"/>
    <mergeCell ref="C7:D7"/>
    <mergeCell ref="C2:D2"/>
    <mergeCell ref="AS2:AT2"/>
    <mergeCell ref="AS1:BD1"/>
    <mergeCell ref="AU2:AY2"/>
    <mergeCell ref="AZ2:BD2"/>
  </mergeCells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Brayan Morales</dc:creator>
  <cp:lastModifiedBy>Brayan Vásquez</cp:lastModifiedBy>
  <dcterms:created xsi:type="dcterms:W3CDTF">2022-05-14T20:13:36Z</dcterms:created>
  <dcterms:modified xsi:type="dcterms:W3CDTF">2025-03-29T03:26:10Z</dcterms:modified>
</cp:coreProperties>
</file>